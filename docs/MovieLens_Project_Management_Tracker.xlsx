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ec9ef9791844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Dashboard" sheetId="1" r:id="Rac4d63ff4edd412f"/>
    <x:sheet xmlns:r="http://schemas.openxmlformats.org/officeDocument/2006/relationships" name="02_Master_Plan" sheetId="2" r:id="Rdd5302c94f414997"/>
    <x:sheet xmlns:r="http://schemas.openxmlformats.org/officeDocument/2006/relationships" name="03_Person_1" sheetId="3" r:id="R293ade60085141ad"/>
    <x:sheet xmlns:r="http://schemas.openxmlformats.org/officeDocument/2006/relationships" name="04_Person_2" sheetId="4" r:id="R4a78817985d5416b"/>
    <x:sheet xmlns:r="http://schemas.openxmlformats.org/officeDocument/2006/relationships" name="05_Milestones" sheetId="5" r:id="R9cc4dbdfc82d4762"/>
    <x:sheet xmlns:r="http://schemas.openxmlformats.org/officeDocument/2006/relationships" name="06_Risks" sheetId="6" r:id="Rc57077f963254878"/>
    <x:sheet xmlns:r="http://schemas.openxmlformats.org/officeDocument/2006/relationships" name="07_Settings" sheetId="7" r:id="R9fa6327634aa4a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7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b/>
      <x:sz val="16"/>
      <x:color rgb="FFFFFFFF"/>
      <x:name val="Carlito"/>
    </x:font>
    <x:font>
      <x:b/>
      <x:sz val="15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2B6F"/>
      </x:patternFill>
    </x:fill>
    <x:fill>
      <x:patternFill patternType="solid">
        <x:fgColor rgb="FFF5F7FA"/>
      </x:patternFill>
    </x:fill>
    <x:fill>
      <x:patternFill patternType="solid">
        <x:fgColor rgb="FF1D67D2"/>
      </x:patternFill>
    </x:fill>
    <x:fill>
      <x:patternFill patternType="solid">
        <x:fgColor rgb="FF0E9A92"/>
      </x:patternFill>
    </x:fill>
    <x:fill>
      <x:patternFill patternType="solid">
        <x:fgColor rgb="FF7C3AED"/>
      </x:patternFill>
    </x:fill>
    <x:fill>
      <x:patternFill patternType="solid">
        <x:fgColor rgb="FFD96B00"/>
      </x:patternFill>
    </x:fill>
    <x:fill>
      <x:patternFill patternType="solid">
        <x:fgColor rgb="FFFFF4E6"/>
      </x:patternFill>
    </x:fill>
  </x:fills>
  <x:borders count="2">
    <x:border/>
    <x:border/>
  </x:borders>
  <x:cellStyleXfs count="1">
    <x:xf numFmtId="0" fontId="0" fillId="0" borderId="0"/>
  </x:cellStyleXfs>
  <x:cellXfs count="9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/>
    <x:xf numFmtId="0" fontId="0" fillId="8" borderId="1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 applyAlignment="1">
      <x:alignment horizontal="center" vertical="center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horizontal="center"/>
    </x:xf>
    <x:xf numFmtId="0" fontId="6" fillId="5" borderId="1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wrapText="1"/>
    </x:xf>
  </x:cellXfs>
  <x:cellStyles count="1">
    <x:cellStyle name="Normal" xfId="0"/>
  </x:cellStyles>
  <x:dxfs count="11">
    <x:dxf>
      <x:font>
        <x:b/>
        <x:color rgb="FF2F855A"/>
      </x:font>
      <x:fill>
        <x:patternFill patternType="solid">
          <x:bgColor rgb="FFEAF7EF"/>
        </x:patternFill>
      </x:fill>
    </x:dxf>
    <x:dxf>
      <x:font>
        <x:b/>
        <x:color rgb="FF1D67D2"/>
      </x:font>
      <x:fill>
        <x:patternFill patternType="solid">
          <x:bgColor rgb="FFEAF4FF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2F855A"/>
      </x:font>
      <x:fill>
        <x:patternFill patternType="solid">
          <x:bgColor rgb="FFEAF7EF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b/>
        <x:color rgb="FF2F855A"/>
      </x:font>
      <x:fill>
        <x:patternFill patternType="solid">
          <x:bgColor rgb="FFEAF7EF"/>
        </x:patternFill>
      </x:fill>
    </x:dxf>
    <x:dxf>
      <x:font>
        <x:b/>
        <x:color rgb="FF2F855A"/>
      </x:font>
      <x:fill>
        <x:patternFill patternType="solid">
          <x:bgColor rgb="FFEAF7EF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77e69eefd24231" /><Relationship Type="http://schemas.openxmlformats.org/officeDocument/2006/relationships/theme" Target="/xl/theme/theme1.xml" Id="Rc75dae3df634422a" /><Relationship Type="http://schemas.openxmlformats.org/officeDocument/2006/relationships/sharedStrings" Target="/xl/sharedStrings.xml" Id="Rae7a84ba91784070" /><Relationship Type="http://schemas.openxmlformats.org/officeDocument/2006/relationships/worksheet" Target="/xl/worksheets/sheet1.xml" Id="Rac4d63ff4edd412f" /><Relationship Type="http://schemas.openxmlformats.org/officeDocument/2006/relationships/worksheet" Target="/xl/worksheets/sheet2.xml" Id="Rdd5302c94f414997" /><Relationship Type="http://schemas.openxmlformats.org/officeDocument/2006/relationships/worksheet" Target="/xl/worksheets/sheet3.xml" Id="R293ade60085141ad" /><Relationship Type="http://schemas.openxmlformats.org/officeDocument/2006/relationships/worksheet" Target="/xl/worksheets/sheet4.xml" Id="R4a78817985d5416b" /><Relationship Type="http://schemas.openxmlformats.org/officeDocument/2006/relationships/worksheet" Target="/xl/worksheets/sheet5.xml" Id="R9cc4dbdfc82d4762" /><Relationship Type="http://schemas.openxmlformats.org/officeDocument/2006/relationships/worksheet" Target="/xl/worksheets/sheet6.xml" Id="Rc57077f963254878" /><Relationship Type="http://schemas.openxmlformats.org/officeDocument/2006/relationships/worksheet" Target="/xl/worksheets/sheet7.xml" Id="R9fa6327634aa4ae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d5bfc0bb72d464e" /><Relationship Type="http://schemas.openxmlformats.org/officeDocument/2006/relationships/chart" Target="/xl/drawings/charts/chart2.xml" Id="R7a5486caac44481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Task Status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'01_Dashboard'!$L$3:$L$6</c:f>
              <c:strCache>
                <c:ptCount val="0"/>
              </c:strCache>
            </c:strRef>
          </c:cat>
          <c:val>
            <c:numRef>
              <c:f>'01_Dashboard'!$M$3:$M$6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Workload by Owner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Tasks</c:v>
          </c:tx>
          <c:cat>
            <c:strRef>
              <c:f>'01_Dashboard'!$L$10:$L$12</c:f>
              <c:strCache>
                <c:ptCount val="0"/>
              </c:strCache>
            </c:strRef>
          </c:cat>
          <c:val>
            <c:numRef>
              <c:f>'01_Dashboard'!$M$10:$M$12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Done</c:v>
          </c:tx>
          <c:cat>
            <c:strRef>
              <c:f>'01_Dashboard'!$L$10:$L$12</c:f>
              <c:strCache>
                <c:ptCount val="0"/>
              </c:strCache>
            </c:strRef>
          </c:cat>
          <c:val>
            <c:numRef>
              <c:f>'01_Dashboard'!$N$10:$N$12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10</xdr:col>
      <xdr:colOff>0</xdr:colOff>
      <xdr:row>11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d5bfc0bb72d464e"/>
        </a:graphicData>
      </a:graphic>
    </xdr:graphicFrame>
    <xdr:clientData/>
  </xdr:twoCellAnchor>
  <xdr:twoCellAnchor>
    <xdr:from>
      <xdr:col>5</xdr:col>
      <xdr:colOff>0</xdr:colOff>
      <xdr:row>21</xdr:row>
      <xdr:rowOff>0</xdr:rowOff>
    </xdr:from>
    <xdr:to>
      <xdr:col>10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a5486caac44481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asterPlanTable" displayName="MasterPlanTable" ref="A1:S26" headerRowCount="1" totalsRowCount="0" totalsRowShown="0">
  <x:tableColumns count="19">
    <x:tableColumn id="1" name="WBS"/>
    <x:tableColumn id="2" name="Phase"/>
    <x:tableColumn id="3" name="Owner"/>
    <x:tableColumn id="4" name="Task"/>
    <x:tableColumn id="5" name="Start Day"/>
    <x:tableColumn id="6" name="Duration"/>
    <x:tableColumn id="7" name="Start Date"/>
    <x:tableColumn id="8" name="Due Date"/>
    <x:tableColumn id="9" name="Priority"/>
    <x:tableColumn id="10" name="Status"/>
    <x:tableColumn id="11" name="% Complete"/>
    <x:tableColumn id="12" name="Dependency"/>
    <x:tableColumn id="13" name="Input"/>
    <x:tableColumn id="14" name="Step-by-step Work"/>
    <x:tableColumn id="15" name="Output / Deliverable"/>
    <x:tableColumn id="16" name="Definition of Done"/>
    <x:tableColumn id="17" name="Evidence"/>
    <x:tableColumn id="18" name="Handoff / Consumer"/>
    <x:tableColumn id="19" name="Manager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dc06ebdc20d446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1a758b6139a4b41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4" hidden="0" customWidth="1"/>
    <x:col min="4" max="4" width="14" hidden="0" customWidth="1"/>
    <x:col min="5" max="5" width="12" hidden="0" customWidth="1"/>
    <x:col min="6" max="6" width="12" hidden="0" customWidth="1"/>
    <x:col min="7" max="7" width="14" hidden="0" customWidth="1"/>
    <x:col min="8" max="8" width="12" hidden="0" customWidth="1"/>
    <x:col min="9" max="9" width="12" hidden="0" customWidth="1"/>
    <x:col min="10" max="10" width="12" hidden="0" customWidth="1"/>
  </x:cols>
  <x:sheetData>
    <x:row r="1">
      <x:c r="A1" s="42" t="str">
        <x:v>MOVIELENS HYBRID RECOMMENDATION SYSTEM — PROJECT CONTROL DASHBOARD</x:v>
      </x:c>
      <x:c r="B1" s="42"/>
      <x:c r="C1" s="42"/>
      <x:c r="D1" s="42"/>
      <x:c r="E1" s="42"/>
      <x:c r="F1" s="42"/>
      <x:c r="G1" s="42"/>
      <x:c r="H1" s="42"/>
      <x:c r="I1" s="42"/>
      <x:c r="J1" s="42"/>
    </x:row>
    <x:row r="2">
      <x:c r="A2" s="42"/>
      <x:c r="B2" s="42"/>
      <x:c r="C2" s="42"/>
      <x:c r="D2" s="42"/>
      <x:c r="E2" s="42"/>
      <x:c r="F2" s="42"/>
      <x:c r="G2" s="42"/>
      <x:c r="H2" s="42"/>
      <x:c r="I2" s="42"/>
      <x:c r="J2" s="42"/>
      <x:c r="L2" t="str">
        <x:v>Status</x:v>
      </x:c>
      <x:c r="M2" t="str">
        <x:v>Count</x:v>
      </x:c>
    </x:row>
    <x:row r="3">
      <x:c r="L3" t="str">
        <x:v>Not Started</x:v>
      </x:c>
      <x:c r="M3" t="n">
        <x:f>COUNTIF('02_Master_Plan'!J2:J26,L3)</x:f>
        <x:v>25</x:v>
      </x:c>
    </x:row>
    <x:row r="4">
      <x:c r="A4" s="72" t="str">
        <x:v>PROJECT SNAPSHOT</x:v>
      </x:c>
      <x:c r="B4" s="72" t="str">
        <x:v>VALUE</x:v>
      </x:c>
      <x:c r="C4" s="19"/>
      <x:c r="D4" s="73" t="str">
        <x:v>OWNER</x:v>
      </x:c>
      <x:c r="E4" s="73" t="str">
        <x:v>TASKS</x:v>
      </x:c>
      <x:c r="F4" s="73" t="str">
        <x:v>DONE</x:v>
      </x:c>
      <x:c r="G4" s="73" t="str">
        <x:v>PROGRESS</x:v>
      </x:c>
      <x:c r="H4" s="19"/>
      <x:c r="I4" s="19"/>
      <x:c r="J4" s="19"/>
      <x:c r="L4" t="str">
        <x:v>In Progress</x:v>
      </x:c>
      <x:c r="M4" t="n">
        <x:f>COUNTIF('02_Master_Plan'!J2:J26,L4)</x:f>
        <x:v>0</x:v>
      </x:c>
    </x:row>
    <x:row r="5">
      <x:c r="A5" s="19" t="str">
        <x:v>Sprint Start</x:v>
      </x:c>
      <x:c r="B5" s="21" t="n">
        <x:f>'07_Settings'!B4</x:f>
        <x:v>46289</x:v>
      </x:c>
      <x:c r="C5" s="19"/>
      <x:c r="D5" s="19" t="str">
        <x:v>Person 1</x:v>
      </x:c>
      <x:c r="E5" s="19" t="n">
        <x:f>COUNTIF('02_Master_Plan'!C2:C26,D5)</x:f>
        <x:v>11</x:v>
      </x:c>
      <x:c r="F5" s="19" t="n">
        <x:f>COUNTIFS('02_Master_Plan'!C2:C26,D5,'02_Master_Plan'!J2:J26,"Done")</x:f>
        <x:v>0</x:v>
      </x:c>
      <x:c r="G5" s="74" t="n">
        <x:f>IF(E5=0,0,SUMIF('02_Master_Plan'!C2:C26,D5,'02_Master_Plan'!K2:K26)/E5/100)</x:f>
        <x:v>0</x:v>
      </x:c>
      <x:c r="H5" s="19"/>
      <x:c r="I5" s="19"/>
      <x:c r="J5" s="19"/>
      <x:c r="L5" t="str">
        <x:v>Blocked</x:v>
      </x:c>
      <x:c r="M5" t="n">
        <x:f>COUNTIF('02_Master_Plan'!J2:J26,L5)</x:f>
        <x:v>0</x:v>
      </x:c>
    </x:row>
    <x:row r="6">
      <x:c r="A6" s="19" t="str">
        <x:v>Sprint Length</x:v>
      </x:c>
      <x:c r="B6" s="19" t="n">
        <x:f>'07_Settings'!B5</x:f>
        <x:v>10</x:v>
      </x:c>
      <x:c r="C6" s="19"/>
      <x:c r="D6" s="19" t="str">
        <x:v>Person 2</x:v>
      </x:c>
      <x:c r="E6" s="19" t="n">
        <x:f>COUNTIF('02_Master_Plan'!C2:C26,D6)</x:f>
        <x:v>8</x:v>
      </x:c>
      <x:c r="F6" s="19" t="n">
        <x:f>COUNTIFS('02_Master_Plan'!C2:C26,D6,'02_Master_Plan'!J2:J26,"Done")</x:f>
        <x:v>0</x:v>
      </x:c>
      <x:c r="G6" s="74" t="n">
        <x:f>IF(E6=0,0,SUMIF('02_Master_Plan'!C2:C26,D6,'02_Master_Plan'!K2:K26)/E6/100)</x:f>
        <x:v>0</x:v>
      </x:c>
      <x:c r="H6" s="19"/>
      <x:c r="I6" s="19"/>
      <x:c r="J6" s="19"/>
      <x:c r="L6" t="str">
        <x:v>Done</x:v>
      </x:c>
      <x:c r="M6" t="n">
        <x:f>COUNTIF('02_Master_Plan'!J2:J26,L6)</x:f>
        <x:v>0</x:v>
      </x:c>
    </x:row>
    <x:row r="7">
      <x:c r="A7" s="19" t="str">
        <x:v>Total Tasks</x:v>
      </x:c>
      <x:c r="B7" s="19" t="n">
        <x:f>COUNTA('02_Master_Plan'!D2:D26)</x:f>
        <x:v>25</x:v>
      </x:c>
      <x:c r="C7" s="19"/>
      <x:c r="D7" s="19" t="str">
        <x:v>Both</x:v>
      </x:c>
      <x:c r="E7" s="19" t="n">
        <x:f>COUNTIF('02_Master_Plan'!C2:C26,D7)</x:f>
        <x:v>6</x:v>
      </x:c>
      <x:c r="F7" s="19" t="n">
        <x:f>COUNTIFS('02_Master_Plan'!C2:C26,D7,'02_Master_Plan'!J2:J26,"Done")</x:f>
        <x:v>0</x:v>
      </x:c>
      <x:c r="G7" s="74" t="n">
        <x:f>IF(E7=0,0,SUMIF('02_Master_Plan'!C2:C26,D7,'02_Master_Plan'!K2:K26)/E7/100)</x:f>
        <x:v>0</x:v>
      </x:c>
      <x:c r="H7" s="19"/>
      <x:c r="I7" s="19"/>
      <x:c r="J7" s="19"/>
    </x:row>
    <x:row r="8">
      <x:c r="A8" s="19" t="str">
        <x:v>Completed</x:v>
      </x:c>
      <x:c r="B8" s="19" t="n">
        <x:f>COUNTIF('02_Master_Plan'!J2:J26,"Done")</x:f>
        <x:v>0</x:v>
      </x:c>
      <x:c r="C8" s="19"/>
      <x:c r="D8" s="19"/>
      <x:c r="E8" s="19"/>
      <x:c r="F8" s="19"/>
      <x:c r="G8" s="19"/>
      <x:c r="H8" s="19"/>
      <x:c r="I8" s="19"/>
      <x:c r="J8" s="19"/>
    </x:row>
    <x:row r="9">
      <x:c r="A9" s="19" t="str">
        <x:v>Blocked</x:v>
      </x:c>
      <x:c r="B9" s="19" t="n">
        <x:f>COUNTIF('02_Master_Plan'!J2:J26,"Blocked")</x:f>
        <x:v>0</x:v>
      </x:c>
      <x:c r="C9" s="19"/>
      <x:c r="D9" s="19"/>
      <x:c r="E9" s="19"/>
      <x:c r="F9" s="19"/>
      <x:c r="G9" s="19"/>
      <x:c r="H9" s="19"/>
      <x:c r="I9" s="19"/>
      <x:c r="J9" s="19"/>
      <x:c r="L9" t="str">
        <x:v>Owner</x:v>
      </x:c>
      <x:c r="M9" t="str">
        <x:v>Tasks</x:v>
      </x:c>
      <x:c r="N9" t="str">
        <x:v>Done</x:v>
      </x:c>
    </x:row>
    <x:row r="10">
      <x:c r="A10" s="19" t="str">
        <x:v>Overall Progress</x:v>
      </x:c>
      <x:c r="B10" s="74" t="n">
        <x:f>SUM('02_Master_Plan'!K2:K26)/COUNTA('02_Master_Plan'!D2:D26)/100</x:f>
        <x:v>0</x:v>
      </x:c>
      <x:c r="C10" s="19"/>
      <x:c r="D10" s="19"/>
      <x:c r="E10" s="19"/>
      <x:c r="F10" s="19"/>
      <x:c r="G10" s="19"/>
      <x:c r="H10" s="19"/>
      <x:c r="I10" s="19"/>
      <x:c r="J10" s="19"/>
      <x:c r="L10" t="str">
        <x:v>Person 1</x:v>
      </x:c>
      <x:c r="M10" t="n">
        <x:f>COUNTIF('02_Master_Plan'!C2:C26,L10)</x:f>
        <x:v>11</x:v>
      </x:c>
      <x:c r="N10" t="n">
        <x:f>COUNTIFS('02_Master_Plan'!C2:C26,L10,'02_Master_Plan'!J2:J26,"Done")</x:f>
        <x:v>0</x:v>
      </x:c>
    </x:row>
    <x:row r="11">
      <x:c r="A11" s="19"/>
      <x:c r="B11" s="19"/>
      <x:c r="C11" s="19"/>
      <x:c r="D11" s="19"/>
      <x:c r="E11" s="19"/>
      <x:c r="F11" s="19"/>
      <x:c r="G11" s="19"/>
      <x:c r="H11" s="19"/>
      <x:c r="I11" s="19"/>
      <x:c r="J11" s="19"/>
      <x:c r="L11" t="str">
        <x:v>Person 2</x:v>
      </x:c>
      <x:c r="M11" t="n">
        <x:f>COUNTIF('02_Master_Plan'!C2:C26,L11)</x:f>
        <x:v>8</x:v>
      </x:c>
      <x:c r="N11" t="n">
        <x:f>COUNTIFS('02_Master_Plan'!C2:C26,L11,'02_Master_Plan'!J2:J26,"Done")</x:f>
        <x:v>0</x:v>
      </x:c>
    </x:row>
    <x:row r="12">
      <x:c r="A12" s="19"/>
      <x:c r="B12" s="19"/>
      <x:c r="C12" s="19"/>
      <x:c r="D12" s="19"/>
      <x:c r="E12" s="19"/>
      <x:c r="F12" s="19"/>
      <x:c r="G12" s="19"/>
      <x:c r="H12" s="19"/>
      <x:c r="I12" s="19"/>
      <x:c r="J12" s="19"/>
      <x:c r="L12" t="str">
        <x:v>Both</x:v>
      </x:c>
      <x:c r="M12" t="n">
        <x:f>COUNTIF('02_Master_Plan'!C2:C26,L12)</x:f>
        <x:v>6</x:v>
      </x:c>
      <x:c r="N12" t="n">
        <x:f>COUNTIFS('02_Master_Plan'!C2:C26,L12,'02_Master_Plan'!J2:J26,"Done")</x:f>
        <x:v>0</x:v>
      </x:c>
    </x:row>
    <x:row r="13">
      <x:c r="A13" s="75" t="str">
        <x:v>PHASE</x:v>
      </x:c>
      <x:c r="B13" s="75" t="str">
        <x:v>TASKS</x:v>
      </x:c>
      <x:c r="C13" s="75" t="str">
        <x:v>DONE</x:v>
      </x:c>
      <x:c r="D13" s="75" t="str">
        <x:v>PROGRESS</x:v>
      </x:c>
      <x:c r="E13" s="19"/>
      <x:c r="F13" s="76" t="str">
        <x:v>MANAGEMENT RULES</x:v>
      </x:c>
      <x:c r="G13" s="76"/>
      <x:c r="H13" s="76"/>
      <x:c r="I13" s="76"/>
      <x:c r="J13" s="76"/>
    </x:row>
    <x:row r="14">
      <x:c r="A14" s="19" t="str">
        <x:v>Phase 0 - Setup</x:v>
      </x:c>
      <x:c r="B14" s="19" t="n">
        <x:f>COUNTIF('02_Master_Plan'!B2:B26,A14)</x:f>
        <x:v>2</x:v>
      </x:c>
      <x:c r="C14" s="19" t="n">
        <x:f>COUNTIFS('02_Master_Plan'!B2:B26,A14,'02_Master_Plan'!J2:J26,"Done")</x:f>
        <x:v>0</x:v>
      </x:c>
      <x:c r="D14" s="74" t="n">
        <x:f>IF(B14=0,0,SUMIF('02_Master_Plan'!B2:B26,A14,'02_Master_Plan'!K2:K26)/B14/100)</x:f>
        <x:v>0</x:v>
      </x:c>
      <x:c r="E14" s="19"/>
      <x:c r="F14" s="68" t="str">
        <x:v>1) A task is DONE only when: code runs + output is correct + evidence exists + downstream can consume it.
2) Person 1 owns Data → Modeling → Evaluation → Serving Artifacts.
3) Person 2 owns MongoDB → API → Routing → Streaming → Serving Integration.
4) Mandatory handoffs: Artifact Contract, Real Serving Artifacts, Retraining/Promotion.
5) Any BLOCKED task must have a written blocker, owner, and next action.</x:v>
      </x:c>
      <x:c r="G14" s="68"/>
      <x:c r="H14" s="68"/>
      <x:c r="I14" s="68"/>
      <x:c r="J14" s="68"/>
    </x:row>
    <x:row r="15">
      <x:c r="A15" s="19" t="str">
        <x:v>Phase 1 - Data Foundation</x:v>
      </x:c>
      <x:c r="B15" s="19" t="n">
        <x:f>COUNTIF('02_Master_Plan'!B2:B26,A15)</x:f>
        <x:v>4</x:v>
      </x:c>
      <x:c r="C15" s="19" t="n">
        <x:f>COUNTIFS('02_Master_Plan'!B2:B26,A15,'02_Master_Plan'!J2:J26,"Done")</x:f>
        <x:v>0</x:v>
      </x:c>
      <x:c r="D15" s="74" t="n">
        <x:f>IF(B15=0,0,SUMIF('02_Master_Plan'!B2:B26,A15,'02_Master_Plan'!K2:K26)/B15/100)</x:f>
        <x:v>0</x:v>
      </x:c>
      <x:c r="E15" s="19"/>
      <x:c r="F15" s="68"/>
      <x:c r="G15" s="68"/>
      <x:c r="H15" s="68"/>
      <x:c r="I15" s="68"/>
      <x:c r="J15" s="68"/>
    </x:row>
    <x:row r="16">
      <x:c r="A16" s="19" t="str">
        <x:v>Phase 2 - Analytics &amp; Validation</x:v>
      </x:c>
      <x:c r="B16" s="19" t="n">
        <x:f>COUNTIF('02_Master_Plan'!B2:B26,A16)</x:f>
        <x:v>4</x:v>
      </x:c>
      <x:c r="C16" s="19" t="n">
        <x:f>COUNTIFS('02_Master_Plan'!B2:B26,A16,'02_Master_Plan'!J2:J26,"Done")</x:f>
        <x:v>0</x:v>
      </x:c>
      <x:c r="D16" s="74" t="n">
        <x:f>IF(B16=0,0,SUMIF('02_Master_Plan'!B2:B26,A16,'02_Master_Plan'!K2:K26)/B16/100)</x:f>
        <x:v>0</x:v>
      </x:c>
      <x:c r="E16" s="19"/>
      <x:c r="F16" s="68"/>
      <x:c r="G16" s="68"/>
      <x:c r="H16" s="68"/>
      <x:c r="I16" s="68"/>
      <x:c r="J16" s="68"/>
    </x:row>
    <x:row r="17">
      <x:c r="A17" s="19" t="str">
        <x:v>Phase 3 - Modeling</x:v>
      </x:c>
      <x:c r="B17" s="19" t="n">
        <x:f>COUNTIF('02_Master_Plan'!B2:B26,A17)</x:f>
        <x:v>5</x:v>
      </x:c>
      <x:c r="C17" s="19" t="n">
        <x:f>COUNTIFS('02_Master_Plan'!B2:B26,A17,'02_Master_Plan'!J2:J26,"Done")</x:f>
        <x:v>0</x:v>
      </x:c>
      <x:c r="D17" s="74" t="n">
        <x:f>IF(B17=0,0,SUMIF('02_Master_Plan'!B2:B26,A17,'02_Master_Plan'!K2:K26)/B17/100)</x:f>
        <x:v>0</x:v>
      </x:c>
      <x:c r="E17" s="19"/>
      <x:c r="F17" s="68"/>
      <x:c r="G17" s="68"/>
      <x:c r="H17" s="68"/>
      <x:c r="I17" s="68"/>
      <x:c r="J17" s="68"/>
    </x:row>
    <x:row r="18">
      <x:c r="A18" s="19" t="str">
        <x:v>Phase 4 - Online Serving</x:v>
      </x:c>
      <x:c r="B18" s="19" t="n">
        <x:f>COUNTIF('02_Master_Plan'!B2:B26,A18)</x:f>
        <x:v>2</x:v>
      </x:c>
      <x:c r="C18" s="19" t="n">
        <x:f>COUNTIFS('02_Master_Plan'!B2:B26,A18,'02_Master_Plan'!J2:J26,"Done")</x:f>
        <x:v>0</x:v>
      </x:c>
      <x:c r="D18" s="74" t="n">
        <x:f>IF(B18=0,0,SUMIF('02_Master_Plan'!B2:B26,A18,'02_Master_Plan'!K2:K26)/B18/100)</x:f>
        <x:v>0</x:v>
      </x:c>
      <x:c r="E18" s="19"/>
      <x:c r="F18" s="68"/>
      <x:c r="G18" s="68"/>
      <x:c r="H18" s="68"/>
      <x:c r="I18" s="68"/>
      <x:c r="J18" s="68"/>
    </x:row>
    <x:row r="19">
      <x:c r="A19" s="19" t="str">
        <x:v>Phase 5 - Streaming</x:v>
      </x:c>
      <x:c r="B19" s="19" t="n">
        <x:f>COUNTIF('02_Master_Plan'!B2:B26,A19)</x:f>
        <x:v>2</x:v>
      </x:c>
      <x:c r="C19" s="19" t="n">
        <x:f>COUNTIFS('02_Master_Plan'!B2:B26,A19,'02_Master_Plan'!J2:J26,"Done")</x:f>
        <x:v>0</x:v>
      </x:c>
      <x:c r="D19" s="74" t="n">
        <x:f>IF(B19=0,0,SUMIF('02_Master_Plan'!B2:B26,A19,'02_Master_Plan'!K2:K26)/B19/100)</x:f>
        <x:v>0</x:v>
      </x:c>
      <x:c r="E19" s="19"/>
      <x:c r="F19" s="68"/>
      <x:c r="G19" s="68"/>
      <x:c r="H19" s="68"/>
      <x:c r="I19" s="68"/>
      <x:c r="J19" s="68"/>
    </x:row>
    <x:row r="20">
      <x:c r="A20" s="19" t="str">
        <x:v>Phase 6 - Model Refresh</x:v>
      </x:c>
      <x:c r="B20" s="19" t="n">
        <x:f>COUNTIF('02_Master_Plan'!B2:B26,A20)</x:f>
        <x:v>2</x:v>
      </x:c>
      <x:c r="C20" s="19" t="n">
        <x:f>COUNTIFS('02_Master_Plan'!B2:B26,A20,'02_Master_Plan'!J2:J26,"Done")</x:f>
        <x:v>0</x:v>
      </x:c>
      <x:c r="D20" s="74" t="n">
        <x:f>IF(B20=0,0,SUMIF('02_Master_Plan'!B2:B26,A20,'02_Master_Plan'!K2:K26)/B20/100)</x:f>
        <x:v>0</x:v>
      </x:c>
      <x:c r="E20" s="19"/>
      <x:c r="F20" s="68"/>
      <x:c r="G20" s="68"/>
      <x:c r="H20" s="68"/>
      <x:c r="I20" s="68"/>
      <x:c r="J20" s="68"/>
    </x:row>
    <x:row r="21">
      <x:c r="A21" s="19" t="str">
        <x:v>Phase 7 - Performance &amp; Reproducibility</x:v>
      </x:c>
      <x:c r="B21" s="19" t="n">
        <x:f>COUNTIF('02_Master_Plan'!B2:B26,A21)</x:f>
        <x:v>2</x:v>
      </x:c>
      <x:c r="C21" s="19" t="n">
        <x:f>COUNTIFS('02_Master_Plan'!B2:B26,A21,'02_Master_Plan'!J2:J26,"Done")</x:f>
        <x:v>0</x:v>
      </x:c>
      <x:c r="D21" s="74" t="n">
        <x:f>IF(B21=0,0,SUMIF('02_Master_Plan'!B2:B26,A21,'02_Master_Plan'!K2:K26)/B21/100)</x:f>
        <x:v>0</x:v>
      </x:c>
      <x:c r="E21" s="19"/>
      <x:c r="F21" s="19"/>
      <x:c r="G21" s="19"/>
      <x:c r="H21" s="19"/>
      <x:c r="I21" s="19"/>
      <x:c r="J21" s="19"/>
    </x:row>
    <x:row r="22">
      <x:c r="A22" s="19" t="str">
        <x:v>Phase 8 - Integration &amp; Demo</x:v>
      </x:c>
      <x:c r="B22" s="19" t="n">
        <x:f>COUNTIF('02_Master_Plan'!B2:B26,A22)</x:f>
        <x:v>2</x:v>
      </x:c>
      <x:c r="C22" s="19" t="n">
        <x:f>COUNTIFS('02_Master_Plan'!B2:B26,A22,'02_Master_Plan'!J2:J26,"Done")</x:f>
        <x:v>0</x:v>
      </x:c>
      <x:c r="D22" s="74" t="n">
        <x:f>IF(B22=0,0,SUMIF('02_Master_Plan'!B2:B26,A22,'02_Master_Plan'!K2:K26)/B22/100)</x:f>
        <x:v>0</x:v>
      </x:c>
      <x:c r="E22" s="19"/>
      <x:c r="F22" s="19"/>
      <x:c r="G22" s="19"/>
      <x:c r="H22" s="19"/>
      <x:c r="I22" s="19"/>
      <x:c r="J22" s="19"/>
    </x:row>
    <x:row r="23">
      <x:c r="A23" s="19"/>
      <x:c r="B23" s="19"/>
      <x:c r="C23" s="19"/>
      <x:c r="D23" s="19"/>
      <x:c r="E23" s="19"/>
      <x:c r="F23" s="19"/>
      <x:c r="G23" s="19"/>
      <x:c r="H23" s="19"/>
      <x:c r="I23" s="19"/>
      <x:c r="J23" s="19"/>
    </x:row>
    <x:row r="24">
      <x:c r="A24" s="19"/>
      <x:c r="B24" s="19"/>
      <x:c r="C24" s="19"/>
      <x:c r="D24" s="19"/>
      <x:c r="E24" s="19"/>
      <x:c r="F24" s="19"/>
      <x:c r="G24" s="19"/>
      <x:c r="H24" s="19"/>
      <x:c r="I24" s="19"/>
      <x:c r="J24" s="19"/>
    </x:row>
    <x:row r="25">
      <x:c r="A25" s="19"/>
      <x:c r="B25" s="19"/>
      <x:c r="C25" s="19"/>
      <x:c r="D25" s="19"/>
      <x:c r="E25" s="19"/>
      <x:c r="F25" s="19"/>
      <x:c r="G25" s="19"/>
      <x:c r="H25" s="19"/>
      <x:c r="I25" s="19"/>
      <x:c r="J25" s="19"/>
    </x:row>
    <x:row r="26">
      <x:c r="A26" s="19"/>
      <x:c r="B26" s="19"/>
      <x:c r="C26" s="19"/>
      <x:c r="D26" s="19"/>
      <x:c r="E26" s="19"/>
      <x:c r="F26" s="19"/>
      <x:c r="G26" s="19"/>
      <x:c r="H26" s="19"/>
      <x:c r="I26" s="19"/>
      <x:c r="J26" s="19"/>
    </x:row>
    <x:row r="27">
      <x:c r="A27" s="19"/>
      <x:c r="B27" s="19"/>
      <x:c r="C27" s="19"/>
      <x:c r="D27" s="19"/>
      <x:c r="E27" s="19"/>
      <x:c r="F27" s="19"/>
      <x:c r="G27" s="19"/>
      <x:c r="H27" s="19"/>
      <x:c r="I27" s="19"/>
      <x:c r="J27" s="19"/>
    </x:row>
    <x:row r="28">
      <x:c r="A28" s="19"/>
      <x:c r="B28" s="19"/>
      <x:c r="C28" s="19"/>
      <x:c r="D28" s="19"/>
      <x:c r="E28" s="19"/>
      <x:c r="F28" s="19"/>
      <x:c r="G28" s="19"/>
      <x:c r="H28" s="19"/>
      <x:c r="I28" s="19"/>
      <x:c r="J28" s="19"/>
    </x:row>
    <x:row r="29">
      <x:c r="A29" s="19"/>
      <x:c r="B29" s="19"/>
      <x:c r="C29" s="19"/>
      <x:c r="D29" s="19"/>
      <x:c r="E29" s="19"/>
      <x:c r="F29" s="19"/>
      <x:c r="G29" s="19"/>
      <x:c r="H29" s="19"/>
      <x:c r="I29" s="19"/>
      <x:c r="J29" s="19"/>
    </x:row>
    <x:row r="30">
      <x:c r="A30" s="19"/>
      <x:c r="B30" s="19"/>
      <x:c r="C30" s="19"/>
      <x:c r="D30" s="19"/>
      <x:c r="E30" s="19"/>
      <x:c r="F30" s="19"/>
      <x:c r="G30" s="19"/>
      <x:c r="H30" s="19"/>
      <x:c r="I30" s="19"/>
      <x:c r="J30" s="19"/>
    </x:row>
    <x:row r="31">
      <x:c r="A31" s="19"/>
      <x:c r="B31" s="19"/>
      <x:c r="C31" s="19"/>
      <x:c r="D31" s="19"/>
      <x:c r="E31" s="19"/>
      <x:c r="F31" s="19"/>
      <x:c r="G31" s="19"/>
      <x:c r="H31" s="19"/>
      <x:c r="I31" s="19"/>
      <x:c r="J31" s="19"/>
    </x:row>
    <x:row r="32">
      <x:c r="A32" s="19"/>
      <x:c r="B32" s="19"/>
      <x:c r="C32" s="19"/>
      <x:c r="D32" s="19"/>
      <x:c r="E32" s="19"/>
      <x:c r="F32" s="19"/>
      <x:c r="G32" s="19"/>
      <x:c r="H32" s="19"/>
      <x:c r="I32" s="19"/>
      <x:c r="J32" s="19"/>
    </x:row>
    <x:row r="33">
      <x:c r="A33" s="19"/>
      <x:c r="B33" s="19"/>
      <x:c r="C33" s="19"/>
      <x:c r="D33" s="19"/>
      <x:c r="E33" s="19"/>
      <x:c r="F33" s="19"/>
      <x:c r="G33" s="19"/>
      <x:c r="H33" s="19"/>
      <x:c r="I33" s="19"/>
      <x:c r="J33" s="19"/>
    </x:row>
    <x:row r="34">
      <x:c r="A34" s="19"/>
      <x:c r="B34" s="19"/>
      <x:c r="C34" s="19"/>
      <x:c r="D34" s="19"/>
      <x:c r="E34" s="19"/>
      <x:c r="F34" s="19"/>
      <x:c r="G34" s="19"/>
      <x:c r="H34" s="19"/>
      <x:c r="I34" s="19"/>
      <x:c r="J34" s="19"/>
    </x:row>
  </x:sheetData>
  <x:mergeCells>
    <x:mergeCell ref="A1:J2"/>
    <x:mergeCell ref="F13:J13"/>
    <x:mergeCell ref="F14:J20"/>
  </x:mergeCells>
  <x:conditionalFormatting sqref="D14:D22">
    <x:cfRule type="dataBar" priority="1">
      <x:dataBar>
        <x:cfvo type="min"/>
        <x:cfvo type="max"/>
        <x:color rgb="FF7C3AED"/>
      </x:dataBar>
      <x:extLst>
        <x:ext xmlns:x14="http://schemas.microsoft.com/office/spreadsheetml/2009/9/main" uri="{B025F937-C7B1-47D3-B67F-A62EFF666E3E}">
          <x14:id>{1D9480A6-A09C-BA36-59E5-976F6974E284}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fdc06ebdc20d446f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D9480A6-A09C-BA36-59E5-976F6974E284}">
            <x14:dataBar gradient="1">
              <x14:cfvo type="min"/>
              <x14:cfvo type="max"/>
              <x14:fillColor rgb="FF7C3AED"/>
            </x14:dataBar>
          </x14:cfRule>
          <xm:sqref>D14:D22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12" hidden="0" customWidth="1"/>
    <x:col min="4" max="4" width="34" hidden="0" customWidth="1"/>
    <x:col min="5" max="5" width="10" hidden="0" customWidth="1"/>
    <x:col min="6" max="6" width="10" hidden="0" customWidth="1"/>
    <x:col min="7" max="7" width="13" hidden="0" customWidth="1"/>
    <x:col min="8" max="8" width="13" hidden="0" customWidth="1"/>
    <x:col min="9" max="9" width="11" hidden="0" customWidth="1"/>
    <x:col min="10" max="10" width="13" hidden="0" customWidth="1"/>
    <x:col min="11" max="11" width="12" hidden="0" customWidth="1"/>
    <x:col min="12" max="12" width="16" hidden="0" customWidth="1"/>
    <x:col min="13" max="13" width="28" hidden="0" customWidth="1"/>
    <x:col min="14" max="14" width="48" hidden="0" customWidth="1"/>
    <x:col min="15" max="15" width="30" hidden="0" customWidth="1"/>
    <x:col min="16" max="16" width="34" hidden="0" customWidth="1"/>
    <x:col min="17" max="17" width="30" hidden="0" customWidth="1"/>
    <x:col min="18" max="18" width="24" hidden="0" customWidth="1"/>
    <x:col min="19" max="19" width="24" hidden="0" customWidth="1"/>
  </x:cols>
  <x:sheetData>
    <x:row r="1" ht="30" customHeight="1">
      <x:c r="A1" s="31" t="str">
        <x:v>WBS</x:v>
      </x:c>
      <x:c r="B1" s="31" t="str">
        <x:v>Phase</x:v>
      </x:c>
      <x:c r="C1" s="31" t="str">
        <x:v>Owner</x:v>
      </x:c>
      <x:c r="D1" s="31" t="str">
        <x:v>Task</x:v>
      </x:c>
      <x:c r="E1" s="31" t="str">
        <x:v>Start Day</x:v>
      </x:c>
      <x:c r="F1" s="31" t="str">
        <x:v>Duration</x:v>
      </x:c>
      <x:c r="G1" s="31" t="str">
        <x:v>Start Date</x:v>
      </x:c>
      <x:c r="H1" s="31" t="str">
        <x:v>Due Date</x:v>
      </x:c>
      <x:c r="I1" s="31" t="str">
        <x:v>Priority</x:v>
      </x:c>
      <x:c r="J1" s="31" t="str">
        <x:v>Status</x:v>
      </x:c>
      <x:c r="K1" s="31" t="str">
        <x:v>% Complete</x:v>
      </x:c>
      <x:c r="L1" s="31" t="str">
        <x:v>Dependency</x:v>
      </x:c>
      <x:c r="M1" s="31" t="str">
        <x:v>Input</x:v>
      </x:c>
      <x:c r="N1" s="31" t="str">
        <x:v>Step-by-step Work</x:v>
      </x:c>
      <x:c r="O1" s="31" t="str">
        <x:v>Output / Deliverable</x:v>
      </x:c>
      <x:c r="P1" s="31" t="str">
        <x:v>Definition of Done</x:v>
      </x:c>
      <x:c r="Q1" s="31" t="str">
        <x:v>Evidence</x:v>
      </x:c>
      <x:c r="R1" s="31" t="str">
        <x:v>Handoff / Consumer</x:v>
      </x:c>
      <x:c r="S1" s="31" t="str">
        <x:v>Manager Notes</x:v>
      </x:c>
    </x:row>
    <x:row r="2">
      <x:c r="A2" s="36" t="str">
        <x:v>0.1</x:v>
      </x:c>
      <x:c r="B2" s="36" t="str">
        <x:v>Phase 0 - Setup</x:v>
      </x:c>
      <x:c r="C2" s="36" t="str">
        <x:v>Both</x:v>
      </x:c>
      <x:c r="D2" s="36" t="str">
        <x:v>Lock architecture, repo, folder structure, config, naming conventions</x:v>
      </x:c>
      <x:c r="E2" s="36" t="n">
        <x:v>1</x:v>
      </x:c>
      <x:c r="F2" s="36" t="n">
        <x:v>1</x:v>
      </x:c>
      <x:c r="G2" s="37" t="n">
        <x:f>'07_Settings'!$B$4+E2-1</x:f>
        <x:v>46289</x:v>
      </x:c>
      <x:c r="H2" s="37" t="n">
        <x:f>G2+F2-1</x:f>
        <x:v>46289</x:v>
      </x:c>
      <x:c r="I2" s="36" t="str">
        <x:v>Critical</x:v>
      </x:c>
      <x:c r="J2" s="36" t="str">
        <x:v>Not Started</x:v>
      </x:c>
      <x:c r="K2" s="36" t="n">
        <x:v>0</x:v>
      </x:c>
      <x:c r="L2" s="36" t="str">
        <x:v>-</x:v>
      </x:c>
      <x:c r="M2" s="36" t="str">
        <x:v>Final architecture + project requirements</x:v>
      </x:c>
      <x:c r="N2" s="36" t="str">
        <x:v>1) Create repo  2) Create folders  3) Create config  4) Agree naming/versioning  5) Verify both machines can run skeleton</x:v>
      </x:c>
      <x:c r="O2" s="36" t="str">
        <x:v>Repo + README + config + agreed folder structure</x:v>
      </x:c>
      <x:c r="P2" s="36" t="str">
        <x:v>Both members can clone/run skeleton; config paths work</x:v>
      </x:c>
      <x:c r="Q2" s="36" t="str">
        <x:v>README screenshot; repo structure; environment versions</x:v>
      </x:c>
      <x:c r="R2" s="36" t="str">
        <x:v>Both</x:v>
      </x:c>
      <x:c r="S2" s="36" t="str"/>
    </x:row>
    <x:row r="3">
      <x:c r="A3" s="36" t="str">
        <x:v>0.2</x:v>
      </x:c>
      <x:c r="B3" s="36" t="str">
        <x:v>Phase 0 - Setup</x:v>
      </x:c>
      <x:c r="C3" s="36" t="str">
        <x:v>Both</x:v>
      </x:c>
      <x:c r="D3" s="36" t="str">
        <x:v>Freeze data contract and serving artifact contract</x:v>
      </x:c>
      <x:c r="E3" s="36" t="n">
        <x:v>1</x:v>
      </x:c>
      <x:c r="F3" s="36" t="n">
        <x:v>1</x:v>
      </x:c>
      <x:c r="G3" s="37" t="n">
        <x:f>'07_Settings'!$B$4+E3-1</x:f>
        <x:v>46289</x:v>
      </x:c>
      <x:c r="H3" s="37" t="n">
        <x:f>G3+F3-1</x:f>
        <x:v>46289</x:v>
      </x:c>
      <x:c r="I3" s="36" t="str">
        <x:v>Critical</x:v>
      </x:c>
      <x:c r="J3" s="36" t="str">
        <x:v>Not Started</x:v>
      </x:c>
      <x:c r="K3" s="36" t="n">
        <x:v>0</x:v>
      </x:c>
      <x:c r="L3" s="36" t="str">
        <x:v>0.1</x:v>
      </x:c>
      <x:c r="M3" s="36" t="str">
        <x:v>Architecture + MovieLens schema</x:v>
      </x:c>
      <x:c r="N3" s="36" t="str">
        <x:v>1) Freeze userId/movieId/rating/timestamp types  2) Freeze Popularity schema  3) Freeze Similar-Movie schema  4) Freeze ALS Top-N schema</x:v>
      </x:c>
      <x:c r="O3" s="36" t="str">
        <x:v>Signed-off schema contracts</x:v>
      </x:c>
      <x:c r="P3" s="36" t="str">
        <x:v>Person 2 can consume mock artifacts without manual edits</x:v>
      </x:c>
      <x:c r="Q3" s="36" t="str">
        <x:v>Schema document; sample JSON/CSV</x:v>
      </x:c>
      <x:c r="R3" s="36" t="str">
        <x:v>Both</x:v>
      </x:c>
      <x:c r="S3" s="36" t="str"/>
    </x:row>
    <x:row r="4">
      <x:c r="A4" s="36" t="str">
        <x:v>1.1</x:v>
      </x:c>
      <x:c r="B4" s="36" t="str">
        <x:v>Phase 1 - Data Foundation</x:v>
      </x:c>
      <x:c r="C4" s="36" t="str">
        <x:v>Person 1</x:v>
      </x:c>
      <x:c r="D4" s="36" t="str">
        <x:v>Ingest MovieLens CSV with explicit PySpark schemas</x:v>
      </x:c>
      <x:c r="E4" s="36" t="n">
        <x:v>1</x:v>
      </x:c>
      <x:c r="F4" s="36" t="n">
        <x:v>1</x:v>
      </x:c>
      <x:c r="G4" s="37" t="n">
        <x:f>'07_Settings'!$B$4+E4-1</x:f>
        <x:v>46289</x:v>
      </x:c>
      <x:c r="H4" s="37" t="n">
        <x:f>G4+F4-1</x:f>
        <x:v>46289</x:v>
      </x:c>
      <x:c r="I4" s="36" t="str">
        <x:v>Critical</x:v>
      </x:c>
      <x:c r="J4" s="36" t="str">
        <x:v>Not Started</x:v>
      </x:c>
      <x:c r="K4" s="36" t="n">
        <x:v>0</x:v>
      </x:c>
      <x:c r="L4" s="36" t="str">
        <x:v>0.1</x:v>
      </x:c>
      <x:c r="M4" s="36" t="str">
        <x:v>ratings.csv, movies.csv, tags.csv, links.csv</x:v>
      </x:c>
      <x:c r="N4" s="36" t="str">
        <x:v>1) Define StructType  2) Read CSV  3) Inspect schema  4) Count rows  5) Validate key columns</x:v>
      </x:c>
      <x:c r="O4" s="36" t="str">
        <x:v>ratings_df, movies_df, tags_df, links_df</x:v>
      </x:c>
      <x:c r="P4" s="36" t="str">
        <x:v>Schemas/types correct; row counts captured; no silent inference</x:v>
      </x:c>
      <x:c r="Q4" s="36" t="str">
        <x:v>Schema print; row counts; sample rows</x:v>
      </x:c>
      <x:c r="R4" s="36" t="str">
        <x:v>1.2</x:v>
      </x:c>
      <x:c r="S4" s="36" t="str"/>
    </x:row>
    <x:row r="5">
      <x:c r="A5" s="36" t="str">
        <x:v>1.2</x:v>
      </x:c>
      <x:c r="B5" s="36" t="str">
        <x:v>Phase 1 - Data Foundation</x:v>
      </x:c>
      <x:c r="C5" s="36" t="str">
        <x:v>Person 1</x:v>
      </x:c>
      <x:c r="D5" s="36" t="str">
        <x:v>Clean, transform and join core datasets</x:v>
      </x:c>
      <x:c r="E5" s="36" t="n">
        <x:v>2</x:v>
      </x:c>
      <x:c r="F5" s="36" t="n">
        <x:v>1</x:v>
      </x:c>
      <x:c r="G5" s="37" t="n">
        <x:f>'07_Settings'!$B$4+E5-1</x:f>
        <x:v>46290</x:v>
      </x:c>
      <x:c r="H5" s="37" t="n">
        <x:f>G5+F5-1</x:f>
        <x:v>46290</x:v>
      </x:c>
      <x:c r="I5" s="36" t="str">
        <x:v>Critical</x:v>
      </x:c>
      <x:c r="J5" s="36" t="str">
        <x:v>Not Started</x:v>
      </x:c>
      <x:c r="K5" s="36" t="n">
        <x:v>0</x:v>
      </x:c>
      <x:c r="L5" s="36" t="str">
        <x:v>1.1</x:v>
      </x:c>
      <x:c r="M5" s="36" t="str">
        <x:v>Raw DataFrames</x:v>
      </x:c>
      <x:c r="N5" s="36" t="str">
        <x:v>1) Null checks  2) Invalid rating checks  3) Duplicate checks  4) Timestamp transform  5) Join by movieId  6) Log unmatched keys</x:v>
      </x:c>
      <x:c r="O5" s="36" t="str">
        <x:v>Clean/enriched DataFrames</x:v>
      </x:c>
      <x:c r="P5" s="36" t="str">
        <x:v>No unresolved critical quality issue; joins validated</x:v>
      </x:c>
      <x:c r="Q5" s="36" t="str">
        <x:v>Quality summary; before/after counts; join checks</x:v>
      </x:c>
      <x:c r="R5" s="36" t="str">
        <x:v>1.3</x:v>
      </x:c>
      <x:c r="S5" s="36" t="str"/>
    </x:row>
    <x:row r="6">
      <x:c r="A6" s="36" t="str">
        <x:v>1.3</x:v>
      </x:c>
      <x:c r="B6" s="36" t="str">
        <x:v>Phase 1 - Data Foundation</x:v>
      </x:c>
      <x:c r="C6" s="36" t="str">
        <x:v>Person 1</x:v>
      </x:c>
      <x:c r="D6" s="36" t="str">
        <x:v>Write Curated Parquet and read-back validation</x:v>
      </x:c>
      <x:c r="E6" s="36" t="n">
        <x:v>2</x:v>
      </x:c>
      <x:c r="F6" s="36" t="n">
        <x:v>1</x:v>
      </x:c>
      <x:c r="G6" s="37" t="n">
        <x:f>'07_Settings'!$B$4+E6-1</x:f>
        <x:v>46290</x:v>
      </x:c>
      <x:c r="H6" s="37" t="n">
        <x:f>G6+F6-1</x:f>
        <x:v>46290</x:v>
      </x:c>
      <x:c r="I6" s="36" t="str">
        <x:v>Critical</x:v>
      </x:c>
      <x:c r="J6" s="36" t="str">
        <x:v>Not Started</x:v>
      </x:c>
      <x:c r="K6" s="36" t="n">
        <x:v>0</x:v>
      </x:c>
      <x:c r="L6" s="36" t="str">
        <x:v>1.2</x:v>
      </x:c>
      <x:c r="M6" s="36" t="str">
        <x:v>Clean DataFrames</x:v>
      </x:c>
      <x:c r="N6" s="36" t="str">
        <x:v>1) Write partitioned/bounded Parquet as appropriate  2) Read back  3) Compare counts/schema  4) Record path/version</x:v>
      </x:c>
      <x:c r="O6" s="36" t="str">
        <x:v>Curated Parquet</x:v>
      </x:c>
      <x:c r="P6" s="36" t="str">
        <x:v>Read-back succeeds; schema/counts consistent</x:v>
      </x:c>
      <x:c r="Q6" s="36" t="str">
        <x:v>Parquet paths; read-back output; row counts</x:v>
      </x:c>
      <x:c r="R6" s="36" t="str">
        <x:v>Person 1 analytics + Person 2 streaming append target</x:v>
      </x:c>
      <x:c r="S6" s="36" t="str"/>
    </x:row>
    <x:row r="7">
      <x:c r="A7" s="36" t="str">
        <x:v>1.4</x:v>
      </x:c>
      <x:c r="B7" s="36" t="str">
        <x:v>Phase 1 - Data Foundation</x:v>
      </x:c>
      <x:c r="C7" s="36" t="str">
        <x:v>Person 2</x:v>
      </x:c>
      <x:c r="D7" s="36" t="str">
        <x:v>Create MongoDB serving schema using mock artifacts</x:v>
      </x:c>
      <x:c r="E7" s="36" t="n">
        <x:v>1</x:v>
      </x:c>
      <x:c r="F7" s="36" t="n">
        <x:v>2</x:v>
      </x:c>
      <x:c r="G7" s="37" t="n">
        <x:f>'07_Settings'!$B$4+E7-1</x:f>
        <x:v>46289</x:v>
      </x:c>
      <x:c r="H7" s="37" t="n">
        <x:f>G7+F7-1</x:f>
        <x:v>46290</x:v>
      </x:c>
      <x:c r="I7" s="36" t="str">
        <x:v>High</x:v>
      </x:c>
      <x:c r="J7" s="36" t="str">
        <x:v>Not Started</x:v>
      </x:c>
      <x:c r="K7" s="36" t="n">
        <x:v>0</x:v>
      </x:c>
      <x:c r="L7" s="36" t="str">
        <x:v>0.2</x:v>
      </x:c>
      <x:c r="M7" s="36" t="str">
        <x:v>Serving artifact contract</x:v>
      </x:c>
      <x:c r="N7" s="36" t="str">
        <x:v>1) Create collections  2) Create indexes  3) Insert mock Popularity/Similar/ALS docs  4) Query by userId/movieId</x:v>
      </x:c>
      <x:c r="O7" s="36" t="str">
        <x:v>MongoDB serving skeleton</x:v>
      </x:c>
      <x:c r="P7" s="36" t="str">
        <x:v>Mock artifacts can be inserted/read with target access patterns</x:v>
      </x:c>
      <x:c r="Q7" s="36" t="str">
        <x:v>Collection list; index list; sample read-back</x:v>
      </x:c>
      <x:c r="R7" s="36" t="str">
        <x:v>2.4 / 3.1</x:v>
      </x:c>
      <x:c r="S7" s="36" t="str"/>
    </x:row>
    <x:row r="8">
      <x:c r="A8" s="36" t="str">
        <x:v>2.1</x:v>
      </x:c>
      <x:c r="B8" s="36" t="str">
        <x:v>Phase 2 - Analytics &amp; Validation</x:v>
      </x:c>
      <x:c r="C8" s="36" t="str">
        <x:v>Person 1</x:v>
      </x:c>
      <x:c r="D8" s="36" t="str">
        <x:v>Build Spark SQL analytics and inspect execution plans</x:v>
      </x:c>
      <x:c r="E8" s="36" t="n">
        <x:v>3</x:v>
      </x:c>
      <x:c r="F8" s="36" t="n">
        <x:v>1</x:v>
      </x:c>
      <x:c r="G8" s="37" t="n">
        <x:f>'07_Settings'!$B$4+E8-1</x:f>
        <x:v>46291</x:v>
      </x:c>
      <x:c r="H8" s="37" t="n">
        <x:f>G8+F8-1</x:f>
        <x:v>46291</x:v>
      </x:c>
      <x:c r="I8" s="36" t="str">
        <x:v>High</x:v>
      </x:c>
      <x:c r="J8" s="36" t="str">
        <x:v>Not Started</x:v>
      </x:c>
      <x:c r="K8" s="36" t="n">
        <x:v>0</x:v>
      </x:c>
      <x:c r="L8" s="36" t="str">
        <x:v>1.3</x:v>
      </x:c>
      <x:c r="M8" s="36" t="str">
        <x:v>Curated Parquet</x:v>
      </x:c>
      <x:c r="N8" s="36" t="str">
        <x:v>1) Create views/DataFrames  2) Run most-rated/genre/user/time queries  3) explain('formatted')  4) Capture Exchange/join/aggregate observations</x:v>
      </x:c>
      <x:c r="O8" s="36" t="str">
        <x:v>Analytics results + execution-plan evidence</x:v>
      </x:c>
      <x:c r="P8" s="36" t="str">
        <x:v>At least 2 meaningful SQL analyses + formatted plan interpretation</x:v>
      </x:c>
      <x:c r="Q8" s="36" t="str">
        <x:v>Query outputs; explain plan; screenshots</x:v>
      </x:c>
      <x:c r="R8" s="36" t="str">
        <x:v>Report / evidence</x:v>
      </x:c>
      <x:c r="S8" s="36" t="str"/>
    </x:row>
    <x:row r="9">
      <x:c r="A9" s="36" t="str">
        <x:v>2.2</x:v>
      </x:c>
      <x:c r="B9" s="36" t="str">
        <x:v>Phase 2 - Analytics &amp; Validation</x:v>
      </x:c>
      <x:c r="C9" s="36" t="str">
        <x:v>Person 1</x:v>
      </x:c>
      <x:c r="D9" s="36" t="str">
        <x:v>Implement MapReduce statistics and cross-check with Spark</x:v>
      </x:c>
      <x:c r="E9" s="36" t="n">
        <x:v>3</x:v>
      </x:c>
      <x:c r="F9" s="36" t="n">
        <x:v>1</x:v>
      </x:c>
      <x:c r="G9" s="37" t="n">
        <x:f>'07_Settings'!$B$4+E9-1</x:f>
        <x:v>46291</x:v>
      </x:c>
      <x:c r="H9" s="37" t="n">
        <x:f>G9+F9-1</x:f>
        <x:v>46291</x:v>
      </x:c>
      <x:c r="I9" s="36" t="str">
        <x:v>Medium</x:v>
      </x:c>
      <x:c r="J9" s="36" t="str">
        <x:v>Not Started</x:v>
      </x:c>
      <x:c r="K9" s="36" t="n">
        <x:v>0</x:v>
      </x:c>
      <x:c r="L9" s="36" t="str">
        <x:v>1.2</x:v>
      </x:c>
      <x:c r="M9" s="36" t="str">
        <x:v>Clean ratings text/CSV or compatible input</x:v>
      </x:c>
      <x:c r="N9" s="36" t="str">
        <x:v>1) Mapper emits movieId -&gt; (rating,1)  2) Combiner sums partials  3) Reducer computes total/count/avg  4) Compare Spark groupBy</x:v>
      </x:c>
      <x:c r="O9" s="36" t="str">
        <x:v>MapReduce statistics</x:v>
      </x:c>
      <x:c r="P9" s="36" t="str">
        <x:v>Reducer output matches Spark within expected tolerance</x:v>
      </x:c>
      <x:c r="Q9" s="36" t="str">
        <x:v>Mapper/reducer code; comparison table</x:v>
      </x:c>
      <x:c r="R9" s="36" t="str">
        <x:v>Report / evidence</x:v>
      </x:c>
      <x:c r="S9" s="36" t="str"/>
    </x:row>
    <x:row r="10">
      <x:c r="A10" s="36" t="str">
        <x:v>2.3</x:v>
      </x:c>
      <x:c r="B10" s="36" t="str">
        <x:v>Phase 2 - Analytics &amp; Validation</x:v>
      </x:c>
      <x:c r="C10" s="36" t="str">
        <x:v>Person 2</x:v>
      </x:c>
      <x:c r="D10" s="36" t="str">
        <x:v>Build Recommendation API skeleton + User History Check</x:v>
      </x:c>
      <x:c r="E10" s="36" t="n">
        <x:v>2</x:v>
      </x:c>
      <x:c r="F10" s="36" t="n">
        <x:v>2</x:v>
      </x:c>
      <x:c r="G10" s="37" t="n">
        <x:f>'07_Settings'!$B$4+E10-1</x:f>
        <x:v>46290</x:v>
      </x:c>
      <x:c r="H10" s="37" t="n">
        <x:f>G10+F10-1</x:f>
        <x:v>46291</x:v>
      </x:c>
      <x:c r="I10" s="36" t="str">
        <x:v>High</x:v>
      </x:c>
      <x:c r="J10" s="36" t="str">
        <x:v>Not Started</x:v>
      </x:c>
      <x:c r="K10" s="36" t="n">
        <x:v>0</x:v>
      </x:c>
      <x:c r="L10" s="36" t="str">
        <x:v>1.4</x:v>
      </x:c>
      <x:c r="M10" s="36" t="str">
        <x:v>MongoDB mock serving store</x:v>
      </x:c>
      <x:c r="N10" s="36" t="str">
        <x:v>1) Define request contract  2) Read user_history  3) Return interaction_count/tier  4) Add basic response contract</x:v>
      </x:c>
      <x:c r="O10" s="36" t="str">
        <x:v>Working API skeleton</x:v>
      </x:c>
      <x:c r="P10" s="36" t="str">
        <x:v>Given userId, API returns valid history tier</x:v>
      </x:c>
      <x:c r="Q10" s="36" t="str">
        <x:v>API request/response samples; logs</x:v>
      </x:c>
      <x:c r="R10" s="36" t="str">
        <x:v>2.4</x:v>
      </x:c>
      <x:c r="S10" s="36" t="str"/>
    </x:row>
    <x:row r="11">
      <x:c r="A11" s="36" t="str">
        <x:v>2.4</x:v>
      </x:c>
      <x:c r="B11" s="36" t="str">
        <x:v>Phase 2 - Analytics &amp; Validation</x:v>
      </x:c>
      <x:c r="C11" s="36" t="str">
        <x:v>Person 2</x:v>
      </x:c>
      <x:c r="D11" s="36" t="str">
        <x:v>Implement 0/Few/Enough history router with mock data</x:v>
      </x:c>
      <x:c r="E11" s="36" t="n">
        <x:v>3</x:v>
      </x:c>
      <x:c r="F11" s="36" t="n">
        <x:v>1</x:v>
      </x:c>
      <x:c r="G11" s="37" t="n">
        <x:f>'07_Settings'!$B$4+E11-1</x:f>
        <x:v>46291</x:v>
      </x:c>
      <x:c r="H11" s="37" t="n">
        <x:f>G11+F11-1</x:f>
        <x:v>46291</x:v>
      </x:c>
      <x:c r="I11" s="36" t="str">
        <x:v>Critical</x:v>
      </x:c>
      <x:c r="J11" s="36" t="str">
        <x:v>Not Started</x:v>
      </x:c>
      <x:c r="K11" s="36" t="n">
        <x:v>0</x:v>
      </x:c>
      <x:c r="L11" s="36" t="str">
        <x:v>2.3</x:v>
      </x:c>
      <x:c r="M11" s="36" t="str">
        <x:v>API skeleton + mock artifacts</x:v>
      </x:c>
      <x:c r="N11" s="36" t="str">
        <x:v>1) 0 -&gt; Popularity  2) Few -&gt; Content + optional Popularity  3) Enough -&gt; ALS + optional Content  4) Unit-test 3 cases</x:v>
      </x:c>
      <x:c r="O11" s="36" t="str">
        <x:v>History-based switching logic</x:v>
      </x:c>
      <x:c r="P11" s="36" t="str">
        <x:v>All three paths return candidates from correct sources</x:v>
      </x:c>
      <x:c r="Q11" s="36" t="str">
        <x:v>3 test cases; routing logs</x:v>
      </x:c>
      <x:c r="R11" s="36" t="str">
        <x:v>3.2 / 4.2</x:v>
      </x:c>
      <x:c r="S11" s="36" t="str"/>
    </x:row>
    <x:row r="12">
      <x:c r="A12" s="36" t="str">
        <x:v>3.1</x:v>
      </x:c>
      <x:c r="B12" s="36" t="str">
        <x:v>Phase 3 - Modeling</x:v>
      </x:c>
      <x:c r="C12" s="36" t="str">
        <x:v>Person 1</x:v>
      </x:c>
      <x:c r="D12" s="36" t="str">
        <x:v>Create train/validation/test evaluation setup</x:v>
      </x:c>
      <x:c r="E12" s="36" t="n">
        <x:v>3</x:v>
      </x:c>
      <x:c r="F12" s="36" t="n">
        <x:v>1</x:v>
      </x:c>
      <x:c r="G12" s="37" t="n">
        <x:f>'07_Settings'!$B$4+E12-1</x:f>
        <x:v>46291</x:v>
      </x:c>
      <x:c r="H12" s="37" t="n">
        <x:f>G12+F12-1</x:f>
        <x:v>46291</x:v>
      </x:c>
      <x:c r="I12" s="36" t="str">
        <x:v>Critical</x:v>
      </x:c>
      <x:c r="J12" s="36" t="str">
        <x:v>Not Started</x:v>
      </x:c>
      <x:c r="K12" s="36" t="n">
        <x:v>0</x:v>
      </x:c>
      <x:c r="L12" s="36" t="str">
        <x:v>1.3</x:v>
      </x:c>
      <x:c r="M12" s="36" t="str">
        <x:v>Curated ratings</x:v>
      </x:c>
      <x:c r="N12" s="36" t="str">
        <x:v>1) Choose fixed-seed or temporal split  2) Prevent leakage  3) Persist split metadata  4) Define relevant item threshold for ranking</x:v>
      </x:c>
      <x:c r="O12" s="36" t="str">
        <x:v>train_df, val_df, test_df + evaluation rules</x:v>
      </x:c>
      <x:c r="P12" s="36" t="str">
        <x:v>Split reproducible; no leakage; relevant-item rule documented</x:v>
      </x:c>
      <x:c r="Q12" s="36" t="str">
        <x:v>Split counts; seed/config; rule definition</x:v>
      </x:c>
      <x:c r="R12" s="36" t="str">
        <x:v>3.2 / 3.3 / 3.4</x:v>
      </x:c>
      <x:c r="S12" s="36" t="str"/>
    </x:row>
    <x:row r="13">
      <x:c r="A13" s="36" t="str">
        <x:v>3.2</x:v>
      </x:c>
      <x:c r="B13" s="36" t="str">
        <x:v>Phase 3 - Modeling</x:v>
      </x:c>
      <x:c r="C13" s="36" t="str">
        <x:v>Person 1</x:v>
      </x:c>
      <x:c r="D13" s="36" t="str">
        <x:v>Build Movie Mean and Popularity baselines</x:v>
      </x:c>
      <x:c r="E13" s="36" t="n">
        <x:v>3</x:v>
      </x:c>
      <x:c r="F13" s="36" t="n">
        <x:v>1</x:v>
      </x:c>
      <x:c r="G13" s="37" t="n">
        <x:f>'07_Settings'!$B$4+E13-1</x:f>
        <x:v>46291</x:v>
      </x:c>
      <x:c r="H13" s="37" t="n">
        <x:f>G13+F13-1</x:f>
        <x:v>46291</x:v>
      </x:c>
      <x:c r="I13" s="36" t="str">
        <x:v>High</x:v>
      </x:c>
      <x:c r="J13" s="36" t="str">
        <x:v>Not Started</x:v>
      </x:c>
      <x:c r="K13" s="36" t="n">
        <x:v>0</x:v>
      </x:c>
      <x:c r="L13" s="36" t="str">
        <x:v>3.1</x:v>
      </x:c>
      <x:c r="M13" s="36" t="str">
        <x:v>Train data</x:v>
      </x:c>
      <x:c r="N13" s="36" t="str">
        <x:v>1) Movie Mean prediction  2) Global fallback  3) Popularity score  4) Create Popularity Top-N</x:v>
      </x:c>
      <x:c r="O13" s="36" t="str">
        <x:v>Movie Mean baseline + Popularity Top-N</x:v>
      </x:c>
      <x:c r="P13" s="36" t="str">
        <x:v>Predictions exist; Popularity Top-N valid and deterministic</x:v>
      </x:c>
      <x:c r="Q13" s="36" t="str">
        <x:v>Baseline metrics; sample Top-N</x:v>
      </x:c>
      <x:c r="R13" s="36" t="str">
        <x:v>3.5 / Person 2</x:v>
      </x:c>
      <x:c r="S13" s="36" t="str"/>
    </x:row>
    <x:row r="14">
      <x:c r="A14" s="36" t="str">
        <x:v>3.3</x:v>
      </x:c>
      <x:c r="B14" s="36" t="str">
        <x:v>Phase 3 - Modeling</x:v>
      </x:c>
      <x:c r="C14" s="36" t="str">
        <x:v>Person 1</x:v>
      </x:c>
      <x:c r="D14" s="36" t="str">
        <x:v>Build Content-Based similar-movie pipeline</x:v>
      </x:c>
      <x:c r="E14" s="36" t="n">
        <x:v>4</x:v>
      </x:c>
      <x:c r="F14" s="36" t="n">
        <x:v>1</x:v>
      </x:c>
      <x:c r="G14" s="37" t="n">
        <x:f>'07_Settings'!$B$4+E14-1</x:f>
        <x:v>46292</x:v>
      </x:c>
      <x:c r="H14" s="37" t="n">
        <x:f>G14+F14-1</x:f>
        <x:v>46292</x:v>
      </x:c>
      <x:c r="I14" s="36" t="str">
        <x:v>High</x:v>
      </x:c>
      <x:c r="J14" s="36" t="str">
        <x:v>Not Started</x:v>
      </x:c>
      <x:c r="K14" s="36" t="n">
        <x:v>0</x:v>
      </x:c>
      <x:c r="L14" s="36" t="str">
        <x:v>3.1</x:v>
      </x:c>
      <x:c r="M14" s="36" t="str">
        <x:v>movies genres + tags</x:v>
      </x:c>
      <x:c r="N14" s="36" t="str">
        <x:v>1) Build feature representation  2) Compute similarity  3) Select Top-M neighbors  4) Persist Similar-Movie Lists</x:v>
      </x:c>
      <x:c r="O14" s="36" t="str">
        <x:v>Precomputed Similar-Movie Lists</x:v>
      </x:c>
      <x:c r="P14" s="36" t="str">
        <x:v>Given a movieId, system returns valid similar movies</x:v>
      </x:c>
      <x:c r="Q14" s="36" t="str">
        <x:v>Sample movie lookup; similarity output</x:v>
      </x:c>
      <x:c r="R14" s="36" t="str">
        <x:v>3.5 / Person 2</x:v>
      </x:c>
      <x:c r="S14" s="36" t="str"/>
    </x:row>
    <x:row r="15">
      <x:c r="A15" s="36" t="str">
        <x:v>3.4</x:v>
      </x:c>
      <x:c r="B15" s="36" t="str">
        <x:v>Phase 3 - Modeling</x:v>
      </x:c>
      <x:c r="C15" s="36" t="str">
        <x:v>Person 1</x:v>
      </x:c>
      <x:c r="D15" s="36" t="str">
        <x:v>Train ALS and precompute personalized Top-N</x:v>
      </x:c>
      <x:c r="E15" s="36" t="n">
        <x:v>4</x:v>
      </x:c>
      <x:c r="F15" s="36" t="n">
        <x:v>2</x:v>
      </x:c>
      <x:c r="G15" s="37" t="n">
        <x:f>'07_Settings'!$B$4+E15-1</x:f>
        <x:v>46292</x:v>
      </x:c>
      <x:c r="H15" s="37" t="n">
        <x:f>G15+F15-1</x:f>
        <x:v>46293</x:v>
      </x:c>
      <x:c r="I15" s="36" t="str">
        <x:v>Critical</x:v>
      </x:c>
      <x:c r="J15" s="36" t="str">
        <x:v>Not Started</x:v>
      </x:c>
      <x:c r="K15" s="36" t="n">
        <x:v>0</x:v>
      </x:c>
      <x:c r="L15" s="36" t="str">
        <x:v>3.1</x:v>
      </x:c>
      <x:c r="M15" s="36" t="str">
        <x:v>userId, movieId, rating from train data</x:v>
      </x:c>
      <x:c r="N15" s="36" t="str">
        <x:v>1) Configure ALS  2) Train  3) Generate candidates  4) Remove already-rated  5) Rank  6) Precompute Top-N</x:v>
      </x:c>
      <x:c r="O15" s="36" t="str">
        <x:v>ALS model + Precomputed ALS Top-N</x:v>
      </x:c>
      <x:c r="P15" s="36" t="str">
        <x:v>Model trains reproducibly; sample user returns valid Top-N</x:v>
      </x:c>
      <x:c r="Q15" s="36" t="str">
        <x:v>ALS config; model metrics; sample Top-N</x:v>
      </x:c>
      <x:c r="R15" s="36" t="str">
        <x:v>3.5 / Person 2</x:v>
      </x:c>
      <x:c r="S15" s="36" t="str"/>
    </x:row>
    <x:row r="16">
      <x:c r="A16" s="36" t="str">
        <x:v>3.5</x:v>
      </x:c>
      <x:c r="B16" s="36" t="str">
        <x:v>Phase 3 - Modeling</x:v>
      </x:c>
      <x:c r="C16" s="36" t="str">
        <x:v>Person 1</x:v>
      </x:c>
      <x:c r="D16" s="36" t="str">
        <x:v>Evaluate models by task and prepare serving artifacts</x:v>
      </x:c>
      <x:c r="E16" s="36" t="n">
        <x:v>5</x:v>
      </x:c>
      <x:c r="F16" s="36" t="n">
        <x:v>1</x:v>
      </x:c>
      <x:c r="G16" s="37" t="n">
        <x:f>'07_Settings'!$B$4+E16-1</x:f>
        <x:v>46293</x:v>
      </x:c>
      <x:c r="H16" s="37" t="n">
        <x:f>G16+F16-1</x:f>
        <x:v>46293</x:v>
      </x:c>
      <x:c r="I16" s="36" t="str">
        <x:v>Critical</x:v>
      </x:c>
      <x:c r="J16" s="36" t="str">
        <x:v>Not Started</x:v>
      </x:c>
      <x:c r="K16" s="36" t="n">
        <x:v>0</x:v>
      </x:c>
      <x:c r="L16" s="36" t="str">
        <x:v>3.2,3.3,3.4</x:v>
      </x:c>
      <x:c r="M16" s="36" t="str">
        <x:v>Baseline/Content/ALS outputs + test data</x:v>
      </x:c>
      <x:c r="N16" s="36" t="str">
        <x:v>1) Movie Mean vs ALS -&gt; RMSE  2) Popularity/Content/ALS -&gt; Recall@K/NDCG@K  3) Validate artifact schemas  4) Add modelVersion/generatedAt</x:v>
      </x:c>
      <x:c r="O16" s="36" t="str">
        <x:v>Evaluation table + production-ready serving artifacts</x:v>
      </x:c>
      <x:c r="P16" s="36" t="str">
        <x:v>Metrics complete; artifacts conform to contract; downstream readable</x:v>
      </x:c>
      <x:c r="Q16" s="36" t="str">
        <x:v>metrics.csv; popularity_topn; similar_movies; als_topn</x:v>
      </x:c>
      <x:c r="R16" s="36" t="str">
        <x:v>HANDOFF to Person 2</x:v>
      </x:c>
      <x:c r="S16" s="36" t="str"/>
    </x:row>
    <x:row r="17">
      <x:c r="A17" s="36" t="str">
        <x:v>4.1</x:v>
      </x:c>
      <x:c r="B17" s="36" t="str">
        <x:v>Phase 4 - Online Serving</x:v>
      </x:c>
      <x:c r="C17" s="36" t="str">
        <x:v>Person 2</x:v>
      </x:c>
      <x:c r="D17" s="36" t="str">
        <x:v>Load real serving artifacts into MongoDB</x:v>
      </x:c>
      <x:c r="E17" s="36" t="n">
        <x:v>5</x:v>
      </x:c>
      <x:c r="F17" s="36" t="n">
        <x:v>1</x:v>
      </x:c>
      <x:c r="G17" s="37" t="n">
        <x:f>'07_Settings'!$B$4+E17-1</x:f>
        <x:v>46293</x:v>
      </x:c>
      <x:c r="H17" s="37" t="n">
        <x:f>G17+F17-1</x:f>
        <x:v>46293</x:v>
      </x:c>
      <x:c r="I17" s="36" t="str">
        <x:v>Critical</x:v>
      </x:c>
      <x:c r="J17" s="36" t="str">
        <x:v>Not Started</x:v>
      </x:c>
      <x:c r="K17" s="36" t="n">
        <x:v>0</x:v>
      </x:c>
      <x:c r="L17" s="36" t="str">
        <x:v>3.5</x:v>
      </x:c>
      <x:c r="M17" s="36" t="str">
        <x:v>Popularity Top-N + Similar-Movie Lists + ALS Top-N</x:v>
      </x:c>
      <x:c r="N17" s="36" t="str">
        <x:v>1) Replace mock data  2) Validate documents  3) Upsert/index  4) Read-back by access pattern</x:v>
      </x:c>
      <x:c r="O17" s="36" t="str">
        <x:v>MongoDB with real serving artifacts</x:v>
      </x:c>
      <x:c r="P17" s="36" t="str">
        <x:v>All artifact types query correctly; modelVersion visible</x:v>
      </x:c>
      <x:c r="Q17" s="36" t="str">
        <x:v>Insert logs; sample queries; document screenshots</x:v>
      </x:c>
      <x:c r="R17" s="36" t="str">
        <x:v>4.2</x:v>
      </x:c>
      <x:c r="S17" s="36" t="str"/>
    </x:row>
    <x:row r="18">
      <x:c r="A18" s="36" t="str">
        <x:v>4.2</x:v>
      </x:c>
      <x:c r="B18" s="36" t="str">
        <x:v>Phase 4 - Online Serving</x:v>
      </x:c>
      <x:c r="C18" s="36" t="str">
        <x:v>Person 2</x:v>
      </x:c>
      <x:c r="D18" s="36" t="str">
        <x:v>Complete online candidate retrieval, exclusion, fusion and Top-N</x:v>
      </x:c>
      <x:c r="E18" s="36" t="n">
        <x:v>5</x:v>
      </x:c>
      <x:c r="F18" s="36" t="n">
        <x:v>2</x:v>
      </x:c>
      <x:c r="G18" s="37" t="n">
        <x:f>'07_Settings'!$B$4+E18-1</x:f>
        <x:v>46293</x:v>
      </x:c>
      <x:c r="H18" s="37" t="n">
        <x:f>G18+F18-1</x:f>
        <x:v>46294</x:v>
      </x:c>
      <x:c r="I18" s="36" t="str">
        <x:v>Critical</x:v>
      </x:c>
      <x:c r="J18" s="36" t="str">
        <x:v>Not Started</x:v>
      </x:c>
      <x:c r="K18" s="36" t="n">
        <x:v>0</x:v>
      </x:c>
      <x:c r="L18" s="36" t="str">
        <x:v>2.4,4.1</x:v>
      </x:c>
      <x:c r="M18" s="36" t="str">
        <x:v>MongoDB + router</x:v>
      </x:c>
      <x:c r="N18" s="36" t="str">
        <x:v>1) Retrieve strategy source  2) Exclude latest already-rated  3) Optional fusion/re-rank  4) Return Top-N with strategy/modelVersion</x:v>
      </x:c>
      <x:c r="O18" s="36" t="str">
        <x:v>End-to-end online recommendation</x:v>
      </x:c>
      <x:c r="P18" s="36" t="str">
        <x:v>0/Few/Enough cases return final Top-N and no already-rated items</x:v>
      </x:c>
      <x:c r="Q18" s="36" t="str">
        <x:v>API traces; before/after exclusion; Top-N outputs</x:v>
      </x:c>
      <x:c r="R18" s="36" t="str">
        <x:v>5.1</x:v>
      </x:c>
      <x:c r="S18" s="36" t="str"/>
    </x:row>
    <x:row r="19">
      <x:c r="A19" s="36" t="str">
        <x:v>5.1</x:v>
      </x:c>
      <x:c r="B19" s="36" t="str">
        <x:v>Phase 5 - Streaming</x:v>
      </x:c>
      <x:c r="C19" s="36" t="str">
        <x:v>Person 2</x:v>
      </x:c>
      <x:c r="D19" s="36" t="str">
        <x:v>Set up Kafka rating-event flow</x:v>
      </x:c>
      <x:c r="E19" s="36" t="n">
        <x:v>6</x:v>
      </x:c>
      <x:c r="F19" s="36" t="n">
        <x:v>1</x:v>
      </x:c>
      <x:c r="G19" s="37" t="n">
        <x:f>'07_Settings'!$B$4+E19-1</x:f>
        <x:v>46294</x:v>
      </x:c>
      <x:c r="H19" s="37" t="n">
        <x:f>G19+F19-1</x:f>
        <x:v>46294</x:v>
      </x:c>
      <x:c r="I19" s="36" t="str">
        <x:v>High</x:v>
      </x:c>
      <x:c r="J19" s="36" t="str">
        <x:v>Not Started</x:v>
      </x:c>
      <x:c r="K19" s="36" t="n">
        <x:v>0</x:v>
      </x:c>
      <x:c r="L19" s="36" t="str">
        <x:v>0.1</x:v>
      </x:c>
      <x:c r="M19" s="36" t="str">
        <x:v>Rating event schema</x:v>
      </x:c>
      <x:c r="N19" s="36" t="str">
        <x:v>1) Create topic  2) Producer sends userId/movieId/rating/timestamp  3) Consumer/read test  4) Record offsets/logs</x:v>
      </x:c>
      <x:c r="O19" s="36" t="str">
        <x:v>Working Kafka event flow</x:v>
      </x:c>
      <x:c r="P19" s="36" t="str">
        <x:v>A rating event can be produced and consumed end-to-end</x:v>
      </x:c>
      <x:c r="Q19" s="36" t="str">
        <x:v>Producer log; consumer output</x:v>
      </x:c>
      <x:c r="R19" s="36" t="str">
        <x:v>5.2</x:v>
      </x:c>
      <x:c r="S19" s="36" t="str"/>
    </x:row>
    <x:row r="20">
      <x:c r="A20" s="36" t="str">
        <x:v>5.2</x:v>
      </x:c>
      <x:c r="B20" s="36" t="str">
        <x:v>Phase 5 - Streaming</x:v>
      </x:c>
      <x:c r="C20" s="36" t="str">
        <x:v>Person 2</x:v>
      </x:c>
      <x:c r="D20" s="36" t="str">
        <x:v>Implement Structured Streaming validation and state update</x:v>
      </x:c>
      <x:c r="E20" s="36" t="n">
        <x:v>6</x:v>
      </x:c>
      <x:c r="F20" s="36" t="n">
        <x:v>2</x:v>
      </x:c>
      <x:c r="G20" s="37" t="n">
        <x:f>'07_Settings'!$B$4+E20-1</x:f>
        <x:v>46294</x:v>
      </x:c>
      <x:c r="H20" s="37" t="n">
        <x:f>G20+F20-1</x:f>
        <x:v>46295</x:v>
      </x:c>
      <x:c r="I20" s="36" t="str">
        <x:v>Critical</x:v>
      </x:c>
      <x:c r="J20" s="36" t="str">
        <x:v>Not Started</x:v>
      </x:c>
      <x:c r="K20" s="36" t="n">
        <x:v>0</x:v>
      </x:c>
      <x:c r="L20" s="36" t="str">
        <x:v>5.1,1.3</x:v>
      </x:c>
      <x:c r="M20" s="36" t="str">
        <x:v>Kafka events + curated target + MongoDB</x:v>
      </x:c>
      <x:c r="N20" s="36" t="str">
        <x:v>1) readStream  2) Parse schema  3) Validate rating/type/timestamp  4) Update user_history  5) Append validated event to curated data/checkpoint</x:v>
      </x:c>
      <x:c r="O20" s="36" t="str">
        <x:v>Validated stream + updated user history + updated curated data</x:v>
      </x:c>
      <x:c r="P20" s="36" t="str">
        <x:v>Request after rating sees new history; new event persisted for retraining</x:v>
      </x:c>
      <x:c r="Q20" s="36" t="str">
        <x:v>Streaming logs; MongoDB before/after; curated read-back</x:v>
      </x:c>
      <x:c r="R20" s="36" t="str">
        <x:v>6.1</x:v>
      </x:c>
      <x:c r="S20" s="36" t="str"/>
    </x:row>
    <x:row r="21">
      <x:c r="A21" s="36" t="str">
        <x:v>6.1</x:v>
      </x:c>
      <x:c r="B21" s="36" t="str">
        <x:v>Phase 6 - Model Refresh</x:v>
      </x:c>
      <x:c r="C21" s="36" t="str">
        <x:v>Both</x:v>
      </x:c>
      <x:c r="D21" s="36" t="str">
        <x:v>Connect streaming feedback to scheduled retraining</x:v>
      </x:c>
      <x:c r="E21" s="36" t="n">
        <x:v>7</x:v>
      </x:c>
      <x:c r="F21" s="36" t="n">
        <x:v>1</x:v>
      </x:c>
      <x:c r="G21" s="37" t="n">
        <x:f>'07_Settings'!$B$4+E21-1</x:f>
        <x:v>46295</x:v>
      </x:c>
      <x:c r="H21" s="37" t="n">
        <x:f>G21+F21-1</x:f>
        <x:v>46295</x:v>
      </x:c>
      <x:c r="I21" s="36" t="str">
        <x:v>Critical</x:v>
      </x:c>
      <x:c r="J21" s="36" t="str">
        <x:v>Not Started</x:v>
      </x:c>
      <x:c r="K21" s="36" t="n">
        <x:v>0</x:v>
      </x:c>
      <x:c r="L21" s="36" t="str">
        <x:v>5.2,3.5</x:v>
      </x:c>
      <x:c r="M21" s="36" t="str">
        <x:v>Updated curated data + training pipeline</x:v>
      </x:c>
      <x:c r="N21" s="36" t="str">
        <x:v>1) Person 2 triggers job  2) Person 1 retrains/evaluates  3) Produce candidate version  4) Store metrics/artifacts</x:v>
      </x:c>
      <x:c r="O21" s="36" t="str">
        <x:v>Candidate Model Version</x:v>
      </x:c>
      <x:c r="P21" s="36" t="str">
        <x:v>New data is included and candidate outputs are reproducible</x:v>
      </x:c>
      <x:c r="Q21" s="36" t="str">
        <x:v>Job log; candidate version; metrics</x:v>
      </x:c>
      <x:c r="R21" s="36" t="str">
        <x:v>6.2</x:v>
      </x:c>
      <x:c r="S21" s="36" t="str"/>
    </x:row>
    <x:row r="22">
      <x:c r="A22" s="36" t="str">
        <x:v>6.2</x:v>
      </x:c>
      <x:c r="B22" s="36" t="str">
        <x:v>Phase 6 - Model Refresh</x:v>
      </x:c>
      <x:c r="C22" s="36" t="str">
        <x:v>Both</x:v>
      </x:c>
      <x:c r="D22" s="36" t="str">
        <x:v>Implement promotion gate and publish/rollback logic</x:v>
      </x:c>
      <x:c r="E22" s="36" t="n">
        <x:v>7</x:v>
      </x:c>
      <x:c r="F22" s="36" t="n">
        <x:v>1</x:v>
      </x:c>
      <x:c r="G22" s="37" t="n">
        <x:f>'07_Settings'!$B$4+E22-1</x:f>
        <x:v>46295</x:v>
      </x:c>
      <x:c r="H22" s="37" t="n">
        <x:f>G22+F22-1</x:f>
        <x:v>46295</x:v>
      </x:c>
      <x:c r="I22" s="36" t="str">
        <x:v>High</x:v>
      </x:c>
      <x:c r="J22" s="36" t="str">
        <x:v>Not Started</x:v>
      </x:c>
      <x:c r="K22" s="36" t="n">
        <x:v>0</x:v>
      </x:c>
      <x:c r="L22" s="36" t="str">
        <x:v>6.1</x:v>
      </x:c>
      <x:c r="M22" s="36" t="str">
        <x:v>Candidate metrics + active model metadata</x:v>
      </x:c>
      <x:c r="N22" s="36" t="str">
        <x:v>1) Compare acceptance criteria  2) Fail -&gt; keep current  3) Pass -&gt; publish new artifacts  4) Update active modelVersion</x:v>
      </x:c>
      <x:c r="O22" s="36" t="str">
        <x:v>Promotion result + active version</x:v>
      </x:c>
      <x:c r="P22" s="36" t="str">
        <x:v>Fail path preserves old serving; pass path activates new version cleanly</x:v>
      </x:c>
      <x:c r="Q22" s="36" t="str">
        <x:v>Gate result; active version before/after</x:v>
      </x:c>
      <x:c r="R22" s="36" t="str">
        <x:v>7.1</x:v>
      </x:c>
      <x:c r="S22" s="36" t="str"/>
    </x:row>
    <x:row r="23">
      <x:c r="A23" s="36" t="str">
        <x:v>7.1</x:v>
      </x:c>
      <x:c r="B23" s="36" t="str">
        <x:v>Phase 7 - Performance &amp; Reproducibility</x:v>
      </x:c>
      <x:c r="C23" s="36" t="str">
        <x:v>Person 1</x:v>
      </x:c>
      <x:c r="D23" s="36" t="str">
        <x:v>Run controlled performance experiment + reproducibility package</x:v>
      </x:c>
      <x:c r="E23" s="36" t="n">
        <x:v>8</x:v>
      </x:c>
      <x:c r="F23" s="36" t="n">
        <x:v>1</x:v>
      </x:c>
      <x:c r="G23" s="37" t="n">
        <x:f>'07_Settings'!$B$4+E23-1</x:f>
        <x:v>46296</x:v>
      </x:c>
      <x:c r="H23" s="37" t="n">
        <x:f>G23+F23-1</x:f>
        <x:v>46296</x:v>
      </x:c>
      <x:c r="I23" s="36" t="str">
        <x:v>Medium</x:v>
      </x:c>
      <x:c r="J23" s="36" t="str">
        <x:v>Not Started</x:v>
      </x:c>
      <x:c r="K23" s="36" t="n">
        <x:v>0</x:v>
      </x:c>
      <x:c r="L23" s="36" t="str">
        <x:v>1.3,2.1</x:v>
      </x:c>
      <x:c r="M23" s="36" t="str">
        <x:v>CSV/Parquet + fixed Spark config</x:v>
      </x:c>
      <x:c r="N23" s="36" t="str">
        <x:v>1) Fix hardware/config/query  2) Warm-up  3) 3-5 measured runs  4) Compare median  5) Capture plans  6) Record versions/seeds/commands</x:v>
      </x:c>
      <x:c r="O23" s="36" t="str">
        <x:v>Performance evidence + reproducibility manifest</x:v>
      </x:c>
      <x:c r="P23" s="36" t="str">
        <x:v>Experiment controlled; no invented results; another member can rerun</x:v>
      </x:c>
      <x:c r="Q23" s="36" t="str">
        <x:v>Timing table; Spark config; requirements; commands</x:v>
      </x:c>
      <x:c r="R23" s="36" t="str">
        <x:v>8.1</x:v>
      </x:c>
      <x:c r="S23" s="36" t="str"/>
    </x:row>
    <x:row r="24">
      <x:c r="A24" s="36" t="str">
        <x:v>7.2</x:v>
      </x:c>
      <x:c r="B24" s="36" t="str">
        <x:v>Phase 7 - Performance &amp; Reproducibility</x:v>
      </x:c>
      <x:c r="C24" s="36" t="str">
        <x:v>Person 2</x:v>
      </x:c>
      <x:c r="D24" s="36" t="str">
        <x:v>Run serving/streaming validation and failure-path checks</x:v>
      </x:c>
      <x:c r="E24" s="36" t="n">
        <x:v>8</x:v>
      </x:c>
      <x:c r="F24" s="36" t="n">
        <x:v>1</x:v>
      </x:c>
      <x:c r="G24" s="37" t="n">
        <x:f>'07_Settings'!$B$4+E24-1</x:f>
        <x:v>46296</x:v>
      </x:c>
      <x:c r="H24" s="37" t="n">
        <x:f>G24+F24-1</x:f>
        <x:v>46296</x:v>
      </x:c>
      <x:c r="I24" s="36" t="str">
        <x:v>Medium</x:v>
      </x:c>
      <x:c r="J24" s="36" t="str">
        <x:v>Not Started</x:v>
      </x:c>
      <x:c r="K24" s="36" t="n">
        <x:v>0</x:v>
      </x:c>
      <x:c r="L24" s="36" t="str">
        <x:v>4.2,5.2,6.2</x:v>
      </x:c>
      <x:c r="M24" s="36" t="str">
        <x:v>Online API + Kafka/Streaming + promotion flow</x:v>
      </x:c>
      <x:c r="N24" s="36" t="str">
        <x:v>1) Test invalid event  2) Test missing user  3) Test stale artifact exclusion  4) Test promotion fail/pass  5) Capture evidence</x:v>
      </x:c>
      <x:c r="O24" s="36" t="str">
        <x:v>System validation evidence</x:v>
      </x:c>
      <x:c r="P24" s="36" t="str">
        <x:v>Critical failure paths behave predictably</x:v>
      </x:c>
      <x:c r="Q24" s="36" t="str">
        <x:v>Test matrix; logs; screenshots</x:v>
      </x:c>
      <x:c r="R24" s="36" t="str">
        <x:v>8.1</x:v>
      </x:c>
      <x:c r="S24" s="36" t="str"/>
    </x:row>
    <x:row r="25">
      <x:c r="A25" s="36" t="str">
        <x:v>8.1</x:v>
      </x:c>
      <x:c r="B25" s="36" t="str">
        <x:v>Phase 8 - Integration &amp; Demo</x:v>
      </x:c>
      <x:c r="C25" s="36" t="str">
        <x:v>Both</x:v>
      </x:c>
      <x:c r="D25" s="36" t="str">
        <x:v>Full end-to-end integration test and demo rehearsal</x:v>
      </x:c>
      <x:c r="E25" s="36" t="n">
        <x:v>9</x:v>
      </x:c>
      <x:c r="F25" s="36" t="n">
        <x:v>1</x:v>
      </x:c>
      <x:c r="G25" s="37" t="n">
        <x:f>'07_Settings'!$B$4+E25-1</x:f>
        <x:v>46297</x:v>
      </x:c>
      <x:c r="H25" s="37" t="n">
        <x:f>G25+F25-1</x:f>
        <x:v>46297</x:v>
      </x:c>
      <x:c r="I25" s="36" t="str">
        <x:v>Critical</x:v>
      </x:c>
      <x:c r="J25" s="36" t="str">
        <x:v>Not Started</x:v>
      </x:c>
      <x:c r="K25" s="36" t="n">
        <x:v>0</x:v>
      </x:c>
      <x:c r="L25" s="36" t="str">
        <x:v>7.1,7.2</x:v>
      </x:c>
      <x:c r="M25" s="36" t="str">
        <x:v>All components</x:v>
      </x:c>
      <x:c r="N25" s="36" t="str">
        <x:v>1) Historical batch run  2) Recommendation request  3) New rating event  4) User history update  5) Retraining candidate  6) Promotion demonstration</x:v>
      </x:c>
      <x:c r="O25" s="36" t="str">
        <x:v>Stable end-to-end demo flow</x:v>
      </x:c>
      <x:c r="P25" s="36" t="str">
        <x:v>No broken interface; demo reproducible from README</x:v>
      </x:c>
      <x:c r="Q25" s="36" t="str">
        <x:v>Demo checklist; logs; final screenshots</x:v>
      </x:c>
      <x:c r="R25" s="36" t="str">
        <x:v>8.2</x:v>
      </x:c>
      <x:c r="S25" s="36" t="str"/>
    </x:row>
    <x:row r="26">
      <x:c r="A26" s="36" t="str">
        <x:v>8.2</x:v>
      </x:c>
      <x:c r="B26" s="36" t="str">
        <x:v>Phase 8 - Integration &amp; Demo</x:v>
      </x:c>
      <x:c r="C26" s="36" t="str">
        <x:v>Both</x:v>
      </x:c>
      <x:c r="D26" s="36" t="str">
        <x:v>Evidence pack, freeze, handover for report/slides</x:v>
      </x:c>
      <x:c r="E26" s="36" t="n">
        <x:v>10</x:v>
      </x:c>
      <x:c r="F26" s="36" t="n">
        <x:v>1</x:v>
      </x:c>
      <x:c r="G26" s="37" t="n">
        <x:f>'07_Settings'!$B$4+E26-1</x:f>
        <x:v>46298</x:v>
      </x:c>
      <x:c r="H26" s="37" t="n">
        <x:f>G26+F26-1</x:f>
        <x:v>46298</x:v>
      </x:c>
      <x:c r="I26" s="36" t="str">
        <x:v>Critical</x:v>
      </x:c>
      <x:c r="J26" s="36" t="str">
        <x:v>Not Started</x:v>
      </x:c>
      <x:c r="K26" s="36" t="n">
        <x:v>0</x:v>
      </x:c>
      <x:c r="L26" s="36" t="str">
        <x:v>8.1</x:v>
      </x:c>
      <x:c r="M26" s="36" t="str">
        <x:v>Final code + outputs</x:v>
      </x:c>
      <x:c r="N26" s="36" t="str">
        <x:v>1) Collect metrics  2) Query plans  3) MongoDB R/W evidence  4) Streaming logs  5) Architecture screenshots  6) Freeze version/tag</x:v>
      </x:c>
      <x:c r="O26" s="36" t="str">
        <x:v>Final evidence pack + release tag</x:v>
      </x:c>
      <x:c r="P26" s="36" t="str">
        <x:v>Every rubric claim has evidence; code/config frozen</x:v>
      </x:c>
      <x:c r="Q26" s="36" t="str">
        <x:v>Evidence folder; release tag; checklist</x:v>
      </x:c>
      <x:c r="R26" s="36" t="str">
        <x:v>Report/Slide owner</x:v>
      </x:c>
      <x:c r="S26" s="36" t="str"/>
    </x:row>
  </x:sheetData>
  <x:conditionalFormatting sqref="J2:J26">
    <x:cfRule type="expression" dxfId="0" priority="1">
      <x:formula>J2="Done"</x:formula>
    </x:cfRule>
    <x:cfRule type="expression" dxfId="1" priority="2">
      <x:formula>J2="In Progress"</x:formula>
    </x:cfRule>
    <x:cfRule type="expression" dxfId="2" priority="3">
      <x:formula>J2="Blocked"</x:formula>
    </x:cfRule>
  </x:conditionalFormatting>
  <x:conditionalFormatting sqref="I2:I26">
    <x:cfRule type="expression" dxfId="3" priority="4">
      <x:formula>I2="Critical"</x:formula>
    </x:cfRule>
  </x:conditionalFormatting>
  <x:conditionalFormatting sqref="K2:K26">
    <x:cfRule type="dataBar" priority="5">
      <x:dataBar>
        <x:cfvo type="min"/>
        <x:cfvo type="max"/>
        <x:color rgb="FF1D67D2"/>
      </x:dataBar>
      <x:extLst>
        <x:ext xmlns:x14="http://schemas.microsoft.com/office/spreadsheetml/2009/9/main" uri="{B025F937-C7B1-47D3-B67F-A62EFF666E3E}">
          <x14:id>{907372BE-35FB-9EAB-1D09-0337332B8F82}</x14:id>
        </x:ext>
      </x:extLst>
    </x:cfRule>
  </x:conditionalFormatting>
  <x:conditionalFormatting sqref="H2:H26">
    <x:cfRule type="expression" dxfId="4" priority="6">
      <x:formula>AND(H2&lt;TODAY(),J2&lt;&gt;"Done")</x:formula>
    </x:cfRule>
  </x:conditionalFormatting>
  <x:dataValidations count="3">
    <x:dataValidation type="list" sqref="C2:C26">
      <x:formula1>"Person 1,Person 2,Both"</x:formula1>
    </x:dataValidation>
    <x:dataValidation type="list" sqref="I2:I26">
      <x:formula1>"Critical,High,Medium"</x:formula1>
    </x:dataValidation>
    <x:dataValidation type="list" sqref="J2:J26">
      <x:formula1>"Not Started,In Progress,Blocked,Done"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a758b6139a4b41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" id="{907372BE-35FB-9EAB-1D09-0337332B8F82}">
            <x14:dataBar gradient="1">
              <x14:cfvo type="min"/>
              <x14:cfvo type="max"/>
              <x14:fillColor rgb="FF1D67D2"/>
            </x14:dataBar>
          </x14:cfRule>
          <xm:sqref>K2:K26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34" hidden="0" customWidth="1"/>
    <x:col min="4" max="4" width="13" hidden="0" customWidth="1"/>
    <x:col min="5" max="5" width="13" hidden="0" customWidth="1"/>
    <x:col min="6" max="6" width="10" hidden="0" customWidth="1"/>
    <x:col min="7" max="7" width="13" hidden="0" customWidth="1"/>
    <x:col min="8" max="8" width="12" hidden="0" customWidth="1"/>
    <x:col min="9" max="9" width="16" hidden="0" customWidth="1"/>
    <x:col min="10" max="10" width="28" hidden="0" customWidth="1"/>
    <x:col min="11" max="11" width="30" hidden="0" customWidth="1"/>
    <x:col min="12" max="12" width="34" hidden="0" customWidth="1"/>
    <x:col min="13" max="13" width="30" hidden="0" customWidth="1"/>
    <x:col min="14" max="14" width="24" hidden="0" customWidth="1"/>
  </x:cols>
  <x:sheetData>
    <x:row r="1">
      <x:c r="A1" s="84" t="str">
        <x:v>PERSON 1 — DATA &amp; RECOMMENDATION MODELING</x:v>
      </x:c>
      <x:c r="B1" s="84"/>
      <x:c r="C1" s="84"/>
      <x:c r="D1" s="84"/>
      <x:c r="E1" s="84"/>
      <x:c r="F1" s="84"/>
      <x:c r="G1" s="84"/>
      <x:c r="H1" s="84"/>
      <x:c r="I1" s="84"/>
      <x:c r="J1" s="84"/>
      <x:c r="K1" s="84"/>
      <x:c r="L1" s="84"/>
      <x:c r="M1" s="84"/>
      <x:c r="N1" s="84"/>
    </x:row>
    <x:row r="2">
      <x:c r="A2" s="84"/>
      <x:c r="B2" s="84"/>
      <x:c r="C2" s="84"/>
      <x:c r="D2" s="84"/>
      <x:c r="E2" s="84"/>
      <x:c r="F2" s="84"/>
      <x:c r="G2" s="84"/>
      <x:c r="H2" s="84"/>
      <x:c r="I2" s="84"/>
      <x:c r="J2" s="84"/>
      <x:c r="K2" s="84"/>
      <x:c r="L2" s="84"/>
      <x:c r="M2" s="84"/>
      <x:c r="N2" s="84"/>
    </x:row>
    <x:row r="4">
      <x:c r="A4" s="72" t="str">
        <x:v>WBS</x:v>
      </x:c>
      <x:c r="B4" s="72" t="str">
        <x:v>Phase</x:v>
      </x:c>
      <x:c r="C4" s="72" t="str">
        <x:v>Task</x:v>
      </x:c>
      <x:c r="D4" s="72" t="str">
        <x:v>Start</x:v>
      </x:c>
      <x:c r="E4" s="72" t="str">
        <x:v>Due</x:v>
      </x:c>
      <x:c r="F4" s="72" t="str">
        <x:v>Priority</x:v>
      </x:c>
      <x:c r="G4" s="72" t="str">
        <x:v>Status</x:v>
      </x:c>
      <x:c r="H4" s="72" t="str">
        <x:v>% Complete</x:v>
      </x:c>
      <x:c r="I4" s="72" t="str">
        <x:v>Dependency</x:v>
      </x:c>
      <x:c r="J4" s="72" t="str">
        <x:v>Input</x:v>
      </x:c>
      <x:c r="K4" s="72" t="str">
        <x:v>Output</x:v>
      </x:c>
      <x:c r="L4" s="72" t="str">
        <x:v>Definition of Done</x:v>
      </x:c>
      <x:c r="M4" s="72" t="str">
        <x:v>Evidence</x:v>
      </x:c>
      <x:c r="N4" s="72" t="str">
        <x:v>Handoff</x:v>
      </x:c>
    </x:row>
    <x:row r="5">
      <x:c r="A5" s="19" t="str">
        <x:v>0.1</x:v>
      </x:c>
      <x:c r="B5" s="19" t="str">
        <x:v>Phase 0 - Setup</x:v>
      </x:c>
      <x:c r="C5" s="19" t="str">
        <x:v>Lock architecture, repo, folder structure, config, naming conventions</x:v>
      </x:c>
      <x:c r="D5" s="21" t="n">
        <x:f>INDEX('02_Master_Plan'!G:G,MATCH(A5,'02_Master_Plan'!A:A,0))</x:f>
        <x:v>46289</x:v>
      </x:c>
      <x:c r="E5" s="21" t="n">
        <x:f>INDEX('02_Master_Plan'!H:H,MATCH(A5,'02_Master_Plan'!A:A,0))</x:f>
        <x:v>46289</x:v>
      </x:c>
      <x:c r="F5" s="19" t="str">
        <x:v>Critical</x:v>
      </x:c>
      <x:c r="G5" s="19" t="str">
        <x:f>INDEX('02_Master_Plan'!J:J,MATCH(A5,'02_Master_Plan'!A:A,0))</x:f>
        <x:v>Not Started</x:v>
      </x:c>
      <x:c r="H5" s="19" t="n">
        <x:f>INDEX('02_Master_Plan'!K:K,MATCH(A5,'02_Master_Plan'!A:A,0))</x:f>
        <x:v>0</x:v>
      </x:c>
      <x:c r="I5" s="19" t="str">
        <x:v>-</x:v>
      </x:c>
      <x:c r="J5" s="19" t="str">
        <x:v>Final architecture + project requirements</x:v>
      </x:c>
      <x:c r="K5" s="19" t="str">
        <x:v>Repo + README + config + agreed folder structure</x:v>
      </x:c>
      <x:c r="L5" s="19" t="str">
        <x:v>Both members can clone/run skeleton; config paths work</x:v>
      </x:c>
      <x:c r="M5" s="19" t="str">
        <x:v>README screenshot; repo structure; environment versions</x:v>
      </x:c>
      <x:c r="N5" s="19" t="str">
        <x:v>Both</x:v>
      </x:c>
    </x:row>
    <x:row r="6">
      <x:c r="A6" s="19" t="str">
        <x:v>0.2</x:v>
      </x:c>
      <x:c r="B6" s="19" t="str">
        <x:v>Phase 0 - Setup</x:v>
      </x:c>
      <x:c r="C6" s="19" t="str">
        <x:v>Freeze data contract and serving artifact contract</x:v>
      </x:c>
      <x:c r="D6" s="21" t="n">
        <x:f>INDEX('02_Master_Plan'!G:G,MATCH(A6,'02_Master_Plan'!A:A,0))</x:f>
        <x:v>46289</x:v>
      </x:c>
      <x:c r="E6" s="21" t="n">
        <x:f>INDEX('02_Master_Plan'!H:H,MATCH(A6,'02_Master_Plan'!A:A,0))</x:f>
        <x:v>46289</x:v>
      </x:c>
      <x:c r="F6" s="19" t="str">
        <x:v>Critical</x:v>
      </x:c>
      <x:c r="G6" s="19" t="str">
        <x:f>INDEX('02_Master_Plan'!J:J,MATCH(A6,'02_Master_Plan'!A:A,0))</x:f>
        <x:v>Not Started</x:v>
      </x:c>
      <x:c r="H6" s="19" t="n">
        <x:f>INDEX('02_Master_Plan'!K:K,MATCH(A6,'02_Master_Plan'!A:A,0))</x:f>
        <x:v>0</x:v>
      </x:c>
      <x:c r="I6" s="19" t="str">
        <x:v>0.1</x:v>
      </x:c>
      <x:c r="J6" s="19" t="str">
        <x:v>Architecture + MovieLens schema</x:v>
      </x:c>
      <x:c r="K6" s="19" t="str">
        <x:v>Signed-off schema contracts</x:v>
      </x:c>
      <x:c r="L6" s="19" t="str">
        <x:v>Person 2 can consume mock artifacts without manual edits</x:v>
      </x:c>
      <x:c r="M6" s="19" t="str">
        <x:v>Schema document; sample JSON/CSV</x:v>
      </x:c>
      <x:c r="N6" s="19" t="str">
        <x:v>Both</x:v>
      </x:c>
    </x:row>
    <x:row r="7">
      <x:c r="A7" s="19" t="str">
        <x:v>1.1</x:v>
      </x:c>
      <x:c r="B7" s="19" t="str">
        <x:v>Phase 1 - Data Foundation</x:v>
      </x:c>
      <x:c r="C7" s="19" t="str">
        <x:v>Ingest MovieLens CSV with explicit PySpark schemas</x:v>
      </x:c>
      <x:c r="D7" s="21" t="n">
        <x:f>INDEX('02_Master_Plan'!G:G,MATCH(A7,'02_Master_Plan'!A:A,0))</x:f>
        <x:v>46289</x:v>
      </x:c>
      <x:c r="E7" s="21" t="n">
        <x:f>INDEX('02_Master_Plan'!H:H,MATCH(A7,'02_Master_Plan'!A:A,0))</x:f>
        <x:v>46289</x:v>
      </x:c>
      <x:c r="F7" s="19" t="str">
        <x:v>Critical</x:v>
      </x:c>
      <x:c r="G7" s="19" t="str">
        <x:f>INDEX('02_Master_Plan'!J:J,MATCH(A7,'02_Master_Plan'!A:A,0))</x:f>
        <x:v>Not Started</x:v>
      </x:c>
      <x:c r="H7" s="19" t="n">
        <x:f>INDEX('02_Master_Plan'!K:K,MATCH(A7,'02_Master_Plan'!A:A,0))</x:f>
        <x:v>0</x:v>
      </x:c>
      <x:c r="I7" s="19" t="str">
        <x:v>0.1</x:v>
      </x:c>
      <x:c r="J7" s="19" t="str">
        <x:v>ratings.csv, movies.csv, tags.csv, links.csv</x:v>
      </x:c>
      <x:c r="K7" s="19" t="str">
        <x:v>ratings_df, movies_df, tags_df, links_df</x:v>
      </x:c>
      <x:c r="L7" s="19" t="str">
        <x:v>Schemas/types correct; row counts captured; no silent inference</x:v>
      </x:c>
      <x:c r="M7" s="19" t="str">
        <x:v>Schema print; row counts; sample rows</x:v>
      </x:c>
      <x:c r="N7" s="19" t="str">
        <x:v>1.2</x:v>
      </x:c>
    </x:row>
    <x:row r="8">
      <x:c r="A8" s="19" t="str">
        <x:v>1.2</x:v>
      </x:c>
      <x:c r="B8" s="19" t="str">
        <x:v>Phase 1 - Data Foundation</x:v>
      </x:c>
      <x:c r="C8" s="19" t="str">
        <x:v>Clean, transform and join core datasets</x:v>
      </x:c>
      <x:c r="D8" s="21" t="n">
        <x:f>INDEX('02_Master_Plan'!G:G,MATCH(A8,'02_Master_Plan'!A:A,0))</x:f>
        <x:v>46290</x:v>
      </x:c>
      <x:c r="E8" s="21" t="n">
        <x:f>INDEX('02_Master_Plan'!H:H,MATCH(A8,'02_Master_Plan'!A:A,0))</x:f>
        <x:v>46290</x:v>
      </x:c>
      <x:c r="F8" s="19" t="str">
        <x:v>Critical</x:v>
      </x:c>
      <x:c r="G8" s="19" t="str">
        <x:f>INDEX('02_Master_Plan'!J:J,MATCH(A8,'02_Master_Plan'!A:A,0))</x:f>
        <x:v>Not Started</x:v>
      </x:c>
      <x:c r="H8" s="19" t="n">
        <x:f>INDEX('02_Master_Plan'!K:K,MATCH(A8,'02_Master_Plan'!A:A,0))</x:f>
        <x:v>0</x:v>
      </x:c>
      <x:c r="I8" s="19" t="str">
        <x:v>1.1</x:v>
      </x:c>
      <x:c r="J8" s="19" t="str">
        <x:v>Raw DataFrames</x:v>
      </x:c>
      <x:c r="K8" s="19" t="str">
        <x:v>Clean/enriched DataFrames</x:v>
      </x:c>
      <x:c r="L8" s="19" t="str">
        <x:v>No unresolved critical quality issue; joins validated</x:v>
      </x:c>
      <x:c r="M8" s="19" t="str">
        <x:v>Quality summary; before/after counts; join checks</x:v>
      </x:c>
      <x:c r="N8" s="19" t="str">
        <x:v>1.3</x:v>
      </x:c>
    </x:row>
    <x:row r="9">
      <x:c r="A9" s="19" t="str">
        <x:v>1.3</x:v>
      </x:c>
      <x:c r="B9" s="19" t="str">
        <x:v>Phase 1 - Data Foundation</x:v>
      </x:c>
      <x:c r="C9" s="19" t="str">
        <x:v>Write Curated Parquet and read-back validation</x:v>
      </x:c>
      <x:c r="D9" s="21" t="n">
        <x:f>INDEX('02_Master_Plan'!G:G,MATCH(A9,'02_Master_Plan'!A:A,0))</x:f>
        <x:v>46290</x:v>
      </x:c>
      <x:c r="E9" s="21" t="n">
        <x:f>INDEX('02_Master_Plan'!H:H,MATCH(A9,'02_Master_Plan'!A:A,0))</x:f>
        <x:v>46290</x:v>
      </x:c>
      <x:c r="F9" s="19" t="str">
        <x:v>Critical</x:v>
      </x:c>
      <x:c r="G9" s="19" t="str">
        <x:f>INDEX('02_Master_Plan'!J:J,MATCH(A9,'02_Master_Plan'!A:A,0))</x:f>
        <x:v>Not Started</x:v>
      </x:c>
      <x:c r="H9" s="19" t="n">
        <x:f>INDEX('02_Master_Plan'!K:K,MATCH(A9,'02_Master_Plan'!A:A,0))</x:f>
        <x:v>0</x:v>
      </x:c>
      <x:c r="I9" s="19" t="str">
        <x:v>1.2</x:v>
      </x:c>
      <x:c r="J9" s="19" t="str">
        <x:v>Clean DataFrames</x:v>
      </x:c>
      <x:c r="K9" s="19" t="str">
        <x:v>Curated Parquet</x:v>
      </x:c>
      <x:c r="L9" s="19" t="str">
        <x:v>Read-back succeeds; schema/counts consistent</x:v>
      </x:c>
      <x:c r="M9" s="19" t="str">
        <x:v>Parquet paths; read-back output; row counts</x:v>
      </x:c>
      <x:c r="N9" s="19" t="str">
        <x:v>Person 1 analytics + Person 2 streaming append target</x:v>
      </x:c>
    </x:row>
    <x:row r="10">
      <x:c r="A10" s="19" t="str">
        <x:v>2.1</x:v>
      </x:c>
      <x:c r="B10" s="19" t="str">
        <x:v>Phase 2 - Analytics &amp; Validation</x:v>
      </x:c>
      <x:c r="C10" s="19" t="str">
        <x:v>Build Spark SQL analytics and inspect execution plans</x:v>
      </x:c>
      <x:c r="D10" s="21" t="n">
        <x:f>INDEX('02_Master_Plan'!G:G,MATCH(A10,'02_Master_Plan'!A:A,0))</x:f>
        <x:v>46291</x:v>
      </x:c>
      <x:c r="E10" s="21" t="n">
        <x:f>INDEX('02_Master_Plan'!H:H,MATCH(A10,'02_Master_Plan'!A:A,0))</x:f>
        <x:v>46291</x:v>
      </x:c>
      <x:c r="F10" s="19" t="str">
        <x:v>High</x:v>
      </x:c>
      <x:c r="G10" s="19" t="str">
        <x:f>INDEX('02_Master_Plan'!J:J,MATCH(A10,'02_Master_Plan'!A:A,0))</x:f>
        <x:v>Not Started</x:v>
      </x:c>
      <x:c r="H10" s="19" t="n">
        <x:f>INDEX('02_Master_Plan'!K:K,MATCH(A10,'02_Master_Plan'!A:A,0))</x:f>
        <x:v>0</x:v>
      </x:c>
      <x:c r="I10" s="19" t="str">
        <x:v>1.3</x:v>
      </x:c>
      <x:c r="J10" s="19" t="str">
        <x:v>Curated Parquet</x:v>
      </x:c>
      <x:c r="K10" s="19" t="str">
        <x:v>Analytics results + execution-plan evidence</x:v>
      </x:c>
      <x:c r="L10" s="19" t="str">
        <x:v>At least 2 meaningful SQL analyses + formatted plan interpretation</x:v>
      </x:c>
      <x:c r="M10" s="19" t="str">
        <x:v>Query outputs; explain plan; screenshots</x:v>
      </x:c>
      <x:c r="N10" s="19" t="str">
        <x:v>Report / evidence</x:v>
      </x:c>
    </x:row>
    <x:row r="11">
      <x:c r="A11" s="19" t="str">
        <x:v>2.2</x:v>
      </x:c>
      <x:c r="B11" s="19" t="str">
        <x:v>Phase 2 - Analytics &amp; Validation</x:v>
      </x:c>
      <x:c r="C11" s="19" t="str">
        <x:v>Implement MapReduce statistics and cross-check with Spark</x:v>
      </x:c>
      <x:c r="D11" s="21" t="n">
        <x:f>INDEX('02_Master_Plan'!G:G,MATCH(A11,'02_Master_Plan'!A:A,0))</x:f>
        <x:v>46291</x:v>
      </x:c>
      <x:c r="E11" s="21" t="n">
        <x:f>INDEX('02_Master_Plan'!H:H,MATCH(A11,'02_Master_Plan'!A:A,0))</x:f>
        <x:v>46291</x:v>
      </x:c>
      <x:c r="F11" s="19" t="str">
        <x:v>Medium</x:v>
      </x:c>
      <x:c r="G11" s="19" t="str">
        <x:f>INDEX('02_Master_Plan'!J:J,MATCH(A11,'02_Master_Plan'!A:A,0))</x:f>
        <x:v>Not Started</x:v>
      </x:c>
      <x:c r="H11" s="19" t="n">
        <x:f>INDEX('02_Master_Plan'!K:K,MATCH(A11,'02_Master_Plan'!A:A,0))</x:f>
        <x:v>0</x:v>
      </x:c>
      <x:c r="I11" s="19" t="str">
        <x:v>1.2</x:v>
      </x:c>
      <x:c r="J11" s="19" t="str">
        <x:v>Clean ratings text/CSV or compatible input</x:v>
      </x:c>
      <x:c r="K11" s="19" t="str">
        <x:v>MapReduce statistics</x:v>
      </x:c>
      <x:c r="L11" s="19" t="str">
        <x:v>Reducer output matches Spark within expected tolerance</x:v>
      </x:c>
      <x:c r="M11" s="19" t="str">
        <x:v>Mapper/reducer code; comparison table</x:v>
      </x:c>
      <x:c r="N11" s="19" t="str">
        <x:v>Report / evidence</x:v>
      </x:c>
    </x:row>
    <x:row r="12">
      <x:c r="A12" s="19" t="str">
        <x:v>3.1</x:v>
      </x:c>
      <x:c r="B12" s="19" t="str">
        <x:v>Phase 3 - Modeling</x:v>
      </x:c>
      <x:c r="C12" s="19" t="str">
        <x:v>Create train/validation/test evaluation setup</x:v>
      </x:c>
      <x:c r="D12" s="21" t="n">
        <x:f>INDEX('02_Master_Plan'!G:G,MATCH(A12,'02_Master_Plan'!A:A,0))</x:f>
        <x:v>46291</x:v>
      </x:c>
      <x:c r="E12" s="21" t="n">
        <x:f>INDEX('02_Master_Plan'!H:H,MATCH(A12,'02_Master_Plan'!A:A,0))</x:f>
        <x:v>46291</x:v>
      </x:c>
      <x:c r="F12" s="19" t="str">
        <x:v>Critical</x:v>
      </x:c>
      <x:c r="G12" s="19" t="str">
        <x:f>INDEX('02_Master_Plan'!J:J,MATCH(A12,'02_Master_Plan'!A:A,0))</x:f>
        <x:v>Not Started</x:v>
      </x:c>
      <x:c r="H12" s="19" t="n">
        <x:f>INDEX('02_Master_Plan'!K:K,MATCH(A12,'02_Master_Plan'!A:A,0))</x:f>
        <x:v>0</x:v>
      </x:c>
      <x:c r="I12" s="19" t="str">
        <x:v>1.3</x:v>
      </x:c>
      <x:c r="J12" s="19" t="str">
        <x:v>Curated ratings</x:v>
      </x:c>
      <x:c r="K12" s="19" t="str">
        <x:v>train_df, val_df, test_df + evaluation rules</x:v>
      </x:c>
      <x:c r="L12" s="19" t="str">
        <x:v>Split reproducible; no leakage; relevant-item rule documented</x:v>
      </x:c>
      <x:c r="M12" s="19" t="str">
        <x:v>Split counts; seed/config; rule definition</x:v>
      </x:c>
      <x:c r="N12" s="19" t="str">
        <x:v>3.2 / 3.3 / 3.4</x:v>
      </x:c>
    </x:row>
    <x:row r="13">
      <x:c r="A13" s="19" t="str">
        <x:v>3.2</x:v>
      </x:c>
      <x:c r="B13" s="19" t="str">
        <x:v>Phase 3 - Modeling</x:v>
      </x:c>
      <x:c r="C13" s="19" t="str">
        <x:v>Build Movie Mean and Popularity baselines</x:v>
      </x:c>
      <x:c r="D13" s="21" t="n">
        <x:f>INDEX('02_Master_Plan'!G:G,MATCH(A13,'02_Master_Plan'!A:A,0))</x:f>
        <x:v>46291</x:v>
      </x:c>
      <x:c r="E13" s="21" t="n">
        <x:f>INDEX('02_Master_Plan'!H:H,MATCH(A13,'02_Master_Plan'!A:A,0))</x:f>
        <x:v>46291</x:v>
      </x:c>
      <x:c r="F13" s="19" t="str">
        <x:v>High</x:v>
      </x:c>
      <x:c r="G13" s="19" t="str">
        <x:f>INDEX('02_Master_Plan'!J:J,MATCH(A13,'02_Master_Plan'!A:A,0))</x:f>
        <x:v>Not Started</x:v>
      </x:c>
      <x:c r="H13" s="19" t="n">
        <x:f>INDEX('02_Master_Plan'!K:K,MATCH(A13,'02_Master_Plan'!A:A,0))</x:f>
        <x:v>0</x:v>
      </x:c>
      <x:c r="I13" s="19" t="str">
        <x:v>3.1</x:v>
      </x:c>
      <x:c r="J13" s="19" t="str">
        <x:v>Train data</x:v>
      </x:c>
      <x:c r="K13" s="19" t="str">
        <x:v>Movie Mean baseline + Popularity Top-N</x:v>
      </x:c>
      <x:c r="L13" s="19" t="str">
        <x:v>Predictions exist; Popularity Top-N valid and deterministic</x:v>
      </x:c>
      <x:c r="M13" s="19" t="str">
        <x:v>Baseline metrics; sample Top-N</x:v>
      </x:c>
      <x:c r="N13" s="19" t="str">
        <x:v>3.5 / Person 2</x:v>
      </x:c>
    </x:row>
    <x:row r="14">
      <x:c r="A14" s="19" t="str">
        <x:v>3.3</x:v>
      </x:c>
      <x:c r="B14" s="19" t="str">
        <x:v>Phase 3 - Modeling</x:v>
      </x:c>
      <x:c r="C14" s="19" t="str">
        <x:v>Build Content-Based similar-movie pipeline</x:v>
      </x:c>
      <x:c r="D14" s="21" t="n">
        <x:f>INDEX('02_Master_Plan'!G:G,MATCH(A14,'02_Master_Plan'!A:A,0))</x:f>
        <x:v>46292</x:v>
      </x:c>
      <x:c r="E14" s="21" t="n">
        <x:f>INDEX('02_Master_Plan'!H:H,MATCH(A14,'02_Master_Plan'!A:A,0))</x:f>
        <x:v>46292</x:v>
      </x:c>
      <x:c r="F14" s="19" t="str">
        <x:v>High</x:v>
      </x:c>
      <x:c r="G14" s="19" t="str">
        <x:f>INDEX('02_Master_Plan'!J:J,MATCH(A14,'02_Master_Plan'!A:A,0))</x:f>
        <x:v>Not Started</x:v>
      </x:c>
      <x:c r="H14" s="19" t="n">
        <x:f>INDEX('02_Master_Plan'!K:K,MATCH(A14,'02_Master_Plan'!A:A,0))</x:f>
        <x:v>0</x:v>
      </x:c>
      <x:c r="I14" s="19" t="str">
        <x:v>3.1</x:v>
      </x:c>
      <x:c r="J14" s="19" t="str">
        <x:v>movies genres + tags</x:v>
      </x:c>
      <x:c r="K14" s="19" t="str">
        <x:v>Precomputed Similar-Movie Lists</x:v>
      </x:c>
      <x:c r="L14" s="19" t="str">
        <x:v>Given a movieId, system returns valid similar movies</x:v>
      </x:c>
      <x:c r="M14" s="19" t="str">
        <x:v>Sample movie lookup; similarity output</x:v>
      </x:c>
      <x:c r="N14" s="19" t="str">
        <x:v>3.5 / Person 2</x:v>
      </x:c>
    </x:row>
    <x:row r="15">
      <x:c r="A15" s="19" t="str">
        <x:v>3.4</x:v>
      </x:c>
      <x:c r="B15" s="19" t="str">
        <x:v>Phase 3 - Modeling</x:v>
      </x:c>
      <x:c r="C15" s="19" t="str">
        <x:v>Train ALS and precompute personalized Top-N</x:v>
      </x:c>
      <x:c r="D15" s="21" t="n">
        <x:f>INDEX('02_Master_Plan'!G:G,MATCH(A15,'02_Master_Plan'!A:A,0))</x:f>
        <x:v>46292</x:v>
      </x:c>
      <x:c r="E15" s="21" t="n">
        <x:f>INDEX('02_Master_Plan'!H:H,MATCH(A15,'02_Master_Plan'!A:A,0))</x:f>
        <x:v>46293</x:v>
      </x:c>
      <x:c r="F15" s="19" t="str">
        <x:v>Critical</x:v>
      </x:c>
      <x:c r="G15" s="19" t="str">
        <x:f>INDEX('02_Master_Plan'!J:J,MATCH(A15,'02_Master_Plan'!A:A,0))</x:f>
        <x:v>Not Started</x:v>
      </x:c>
      <x:c r="H15" s="19" t="n">
        <x:f>INDEX('02_Master_Plan'!K:K,MATCH(A15,'02_Master_Plan'!A:A,0))</x:f>
        <x:v>0</x:v>
      </x:c>
      <x:c r="I15" s="19" t="str">
        <x:v>3.1</x:v>
      </x:c>
      <x:c r="J15" s="19" t="str">
        <x:v>userId, movieId, rating from train data</x:v>
      </x:c>
      <x:c r="K15" s="19" t="str">
        <x:v>ALS model + Precomputed ALS Top-N</x:v>
      </x:c>
      <x:c r="L15" s="19" t="str">
        <x:v>Model trains reproducibly; sample user returns valid Top-N</x:v>
      </x:c>
      <x:c r="M15" s="19" t="str">
        <x:v>ALS config; model metrics; sample Top-N</x:v>
      </x:c>
      <x:c r="N15" s="19" t="str">
        <x:v>3.5 / Person 2</x:v>
      </x:c>
    </x:row>
    <x:row r="16">
      <x:c r="A16" s="19" t="str">
        <x:v>3.5</x:v>
      </x:c>
      <x:c r="B16" s="19" t="str">
        <x:v>Phase 3 - Modeling</x:v>
      </x:c>
      <x:c r="C16" s="19" t="str">
        <x:v>Evaluate models by task and prepare serving artifacts</x:v>
      </x:c>
      <x:c r="D16" s="21" t="n">
        <x:f>INDEX('02_Master_Plan'!G:G,MATCH(A16,'02_Master_Plan'!A:A,0))</x:f>
        <x:v>46293</x:v>
      </x:c>
      <x:c r="E16" s="21" t="n">
        <x:f>INDEX('02_Master_Plan'!H:H,MATCH(A16,'02_Master_Plan'!A:A,0))</x:f>
        <x:v>46293</x:v>
      </x:c>
      <x:c r="F16" s="19" t="str">
        <x:v>Critical</x:v>
      </x:c>
      <x:c r="G16" s="19" t="str">
        <x:f>INDEX('02_Master_Plan'!J:J,MATCH(A16,'02_Master_Plan'!A:A,0))</x:f>
        <x:v>Not Started</x:v>
      </x:c>
      <x:c r="H16" s="19" t="n">
        <x:f>INDEX('02_Master_Plan'!K:K,MATCH(A16,'02_Master_Plan'!A:A,0))</x:f>
        <x:v>0</x:v>
      </x:c>
      <x:c r="I16" s="19" t="str">
        <x:v>3.2,3.3,3.4</x:v>
      </x:c>
      <x:c r="J16" s="19" t="str">
        <x:v>Baseline/Content/ALS outputs + test data</x:v>
      </x:c>
      <x:c r="K16" s="19" t="str">
        <x:v>Evaluation table + production-ready serving artifacts</x:v>
      </x:c>
      <x:c r="L16" s="19" t="str">
        <x:v>Metrics complete; artifacts conform to contract; downstream readable</x:v>
      </x:c>
      <x:c r="M16" s="19" t="str">
        <x:v>metrics.csv; popularity_topn; similar_movies; als_topn</x:v>
      </x:c>
      <x:c r="N16" s="19" t="str">
        <x:v>HANDOFF to Person 2</x:v>
      </x:c>
    </x:row>
    <x:row r="17">
      <x:c r="A17" s="19" t="str">
        <x:v>6.1</x:v>
      </x:c>
      <x:c r="B17" s="19" t="str">
        <x:v>Phase 6 - Model Refresh</x:v>
      </x:c>
      <x:c r="C17" s="19" t="str">
        <x:v>Connect streaming feedback to scheduled retraining</x:v>
      </x:c>
      <x:c r="D17" s="21" t="n">
        <x:f>INDEX('02_Master_Plan'!G:G,MATCH(A17,'02_Master_Plan'!A:A,0))</x:f>
        <x:v>46295</x:v>
      </x:c>
      <x:c r="E17" s="21" t="n">
        <x:f>INDEX('02_Master_Plan'!H:H,MATCH(A17,'02_Master_Plan'!A:A,0))</x:f>
        <x:v>46295</x:v>
      </x:c>
      <x:c r="F17" s="19" t="str">
        <x:v>Critical</x:v>
      </x:c>
      <x:c r="G17" s="19" t="str">
        <x:f>INDEX('02_Master_Plan'!J:J,MATCH(A17,'02_Master_Plan'!A:A,0))</x:f>
        <x:v>Not Started</x:v>
      </x:c>
      <x:c r="H17" s="19" t="n">
        <x:f>INDEX('02_Master_Plan'!K:K,MATCH(A17,'02_Master_Plan'!A:A,0))</x:f>
        <x:v>0</x:v>
      </x:c>
      <x:c r="I17" s="19" t="str">
        <x:v>5.2,3.5</x:v>
      </x:c>
      <x:c r="J17" s="19" t="str">
        <x:v>Updated curated data + training pipeline</x:v>
      </x:c>
      <x:c r="K17" s="19" t="str">
        <x:v>Candidate Model Version</x:v>
      </x:c>
      <x:c r="L17" s="19" t="str">
        <x:v>New data is included and candidate outputs are reproducible</x:v>
      </x:c>
      <x:c r="M17" s="19" t="str">
        <x:v>Job log; candidate version; metrics</x:v>
      </x:c>
      <x:c r="N17" s="19" t="str">
        <x:v>6.2</x:v>
      </x:c>
    </x:row>
    <x:row r="18">
      <x:c r="A18" s="19" t="str">
        <x:v>6.2</x:v>
      </x:c>
      <x:c r="B18" s="19" t="str">
        <x:v>Phase 6 - Model Refresh</x:v>
      </x:c>
      <x:c r="C18" s="19" t="str">
        <x:v>Implement promotion gate and publish/rollback logic</x:v>
      </x:c>
      <x:c r="D18" s="21" t="n">
        <x:f>INDEX('02_Master_Plan'!G:G,MATCH(A18,'02_Master_Plan'!A:A,0))</x:f>
        <x:v>46295</x:v>
      </x:c>
      <x:c r="E18" s="21" t="n">
        <x:f>INDEX('02_Master_Plan'!H:H,MATCH(A18,'02_Master_Plan'!A:A,0))</x:f>
        <x:v>46295</x:v>
      </x:c>
      <x:c r="F18" s="19" t="str">
        <x:v>High</x:v>
      </x:c>
      <x:c r="G18" s="19" t="str">
        <x:f>INDEX('02_Master_Plan'!J:J,MATCH(A18,'02_Master_Plan'!A:A,0))</x:f>
        <x:v>Not Started</x:v>
      </x:c>
      <x:c r="H18" s="19" t="n">
        <x:f>INDEX('02_Master_Plan'!K:K,MATCH(A18,'02_Master_Plan'!A:A,0))</x:f>
        <x:v>0</x:v>
      </x:c>
      <x:c r="I18" s="19" t="str">
        <x:v>6.1</x:v>
      </x:c>
      <x:c r="J18" s="19" t="str">
        <x:v>Candidate metrics + active model metadata</x:v>
      </x:c>
      <x:c r="K18" s="19" t="str">
        <x:v>Promotion result + active version</x:v>
      </x:c>
      <x:c r="L18" s="19" t="str">
        <x:v>Fail path preserves old serving; pass path activates new version cleanly</x:v>
      </x:c>
      <x:c r="M18" s="19" t="str">
        <x:v>Gate result; active version before/after</x:v>
      </x:c>
      <x:c r="N18" s="19" t="str">
        <x:v>7.1</x:v>
      </x:c>
    </x:row>
    <x:row r="19">
      <x:c r="A19" s="19" t="str">
        <x:v>7.1</x:v>
      </x:c>
      <x:c r="B19" s="19" t="str">
        <x:v>Phase 7 - Performance &amp; Reproducibility</x:v>
      </x:c>
      <x:c r="C19" s="19" t="str">
        <x:v>Run controlled performance experiment + reproducibility package</x:v>
      </x:c>
      <x:c r="D19" s="21" t="n">
        <x:f>INDEX('02_Master_Plan'!G:G,MATCH(A19,'02_Master_Plan'!A:A,0))</x:f>
        <x:v>46296</x:v>
      </x:c>
      <x:c r="E19" s="21" t="n">
        <x:f>INDEX('02_Master_Plan'!H:H,MATCH(A19,'02_Master_Plan'!A:A,0))</x:f>
        <x:v>46296</x:v>
      </x:c>
      <x:c r="F19" s="19" t="str">
        <x:v>Medium</x:v>
      </x:c>
      <x:c r="G19" s="19" t="str">
        <x:f>INDEX('02_Master_Plan'!J:J,MATCH(A19,'02_Master_Plan'!A:A,0))</x:f>
        <x:v>Not Started</x:v>
      </x:c>
      <x:c r="H19" s="19" t="n">
        <x:f>INDEX('02_Master_Plan'!K:K,MATCH(A19,'02_Master_Plan'!A:A,0))</x:f>
        <x:v>0</x:v>
      </x:c>
      <x:c r="I19" s="19" t="str">
        <x:v>1.3,2.1</x:v>
      </x:c>
      <x:c r="J19" s="19" t="str">
        <x:v>CSV/Parquet + fixed Spark config</x:v>
      </x:c>
      <x:c r="K19" s="19" t="str">
        <x:v>Performance evidence + reproducibility manifest</x:v>
      </x:c>
      <x:c r="L19" s="19" t="str">
        <x:v>Experiment controlled; no invented results; another member can rerun</x:v>
      </x:c>
      <x:c r="M19" s="19" t="str">
        <x:v>Timing table; Spark config; requirements; commands</x:v>
      </x:c>
      <x:c r="N19" s="19" t="str">
        <x:v>8.1</x:v>
      </x:c>
    </x:row>
    <x:row r="20">
      <x:c r="A20" s="19" t="str">
        <x:v>8.1</x:v>
      </x:c>
      <x:c r="B20" s="19" t="str">
        <x:v>Phase 8 - Integration &amp; Demo</x:v>
      </x:c>
      <x:c r="C20" s="19" t="str">
        <x:v>Full end-to-end integration test and demo rehearsal</x:v>
      </x:c>
      <x:c r="D20" s="21" t="n">
        <x:f>INDEX('02_Master_Plan'!G:G,MATCH(A20,'02_Master_Plan'!A:A,0))</x:f>
        <x:v>46297</x:v>
      </x:c>
      <x:c r="E20" s="21" t="n">
        <x:f>INDEX('02_Master_Plan'!H:H,MATCH(A20,'02_Master_Plan'!A:A,0))</x:f>
        <x:v>46297</x:v>
      </x:c>
      <x:c r="F20" s="19" t="str">
        <x:v>Critical</x:v>
      </x:c>
      <x:c r="G20" s="19" t="str">
        <x:f>INDEX('02_Master_Plan'!J:J,MATCH(A20,'02_Master_Plan'!A:A,0))</x:f>
        <x:v>Not Started</x:v>
      </x:c>
      <x:c r="H20" s="19" t="n">
        <x:f>INDEX('02_Master_Plan'!K:K,MATCH(A20,'02_Master_Plan'!A:A,0))</x:f>
        <x:v>0</x:v>
      </x:c>
      <x:c r="I20" s="19" t="str">
        <x:v>7.1,7.2</x:v>
      </x:c>
      <x:c r="J20" s="19" t="str">
        <x:v>All components</x:v>
      </x:c>
      <x:c r="K20" s="19" t="str">
        <x:v>Stable end-to-end demo flow</x:v>
      </x:c>
      <x:c r="L20" s="19" t="str">
        <x:v>No broken interface; demo reproducible from README</x:v>
      </x:c>
      <x:c r="M20" s="19" t="str">
        <x:v>Demo checklist; logs; final screenshots</x:v>
      </x:c>
      <x:c r="N20" s="19" t="str">
        <x:v>8.2</x:v>
      </x:c>
    </x:row>
    <x:row r="21">
      <x:c r="A21" s="19" t="str">
        <x:v>8.2</x:v>
      </x:c>
      <x:c r="B21" s="19" t="str">
        <x:v>Phase 8 - Integration &amp; Demo</x:v>
      </x:c>
      <x:c r="C21" s="19" t="str">
        <x:v>Evidence pack, freeze, handover for report/slides</x:v>
      </x:c>
      <x:c r="D21" s="21" t="n">
        <x:f>INDEX('02_Master_Plan'!G:G,MATCH(A21,'02_Master_Plan'!A:A,0))</x:f>
        <x:v>46298</x:v>
      </x:c>
      <x:c r="E21" s="21" t="n">
        <x:f>INDEX('02_Master_Plan'!H:H,MATCH(A21,'02_Master_Plan'!A:A,0))</x:f>
        <x:v>46298</x:v>
      </x:c>
      <x:c r="F21" s="19" t="str">
        <x:v>Critical</x:v>
      </x:c>
      <x:c r="G21" s="19" t="str">
        <x:f>INDEX('02_Master_Plan'!J:J,MATCH(A21,'02_Master_Plan'!A:A,0))</x:f>
        <x:v>Not Started</x:v>
      </x:c>
      <x:c r="H21" s="19" t="n">
        <x:f>INDEX('02_Master_Plan'!K:K,MATCH(A21,'02_Master_Plan'!A:A,0))</x:f>
        <x:v>0</x:v>
      </x:c>
      <x:c r="I21" s="19" t="str">
        <x:v>8.1</x:v>
      </x:c>
      <x:c r="J21" s="19" t="str">
        <x:v>Final code + outputs</x:v>
      </x:c>
      <x:c r="K21" s="19" t="str">
        <x:v>Final evidence pack + release tag</x:v>
      </x:c>
      <x:c r="L21" s="19" t="str">
        <x:v>Every rubric claim has evidence; code/config frozen</x:v>
      </x:c>
      <x:c r="M21" s="19" t="str">
        <x:v>Evidence folder; release tag; checklist</x:v>
      </x:c>
      <x:c r="N21" s="19" t="str">
        <x:v>Report/Slide owner</x:v>
      </x:c>
    </x:row>
  </x:sheetData>
  <x:mergeCells>
    <x:mergeCell ref="A1:N2"/>
  </x:mergeCells>
  <x:conditionalFormatting sqref="H5:H21">
    <x:cfRule type="dataBar" priority="1">
      <x:dataBar>
        <x:cfvo type="min"/>
        <x:cfvo type="max"/>
        <x:color rgb="FF1D67D2"/>
      </x:dataBar>
      <x:extLst>
        <x:ext xmlns:x14="http://schemas.microsoft.com/office/spreadsheetml/2009/9/main" uri="{B025F937-C7B1-47D3-B67F-A62EFF666E3E}">
          <x14:id>{66FAD1D5-35F0-875A-B2A6-EB233DF4A669}</x14:id>
        </x:ext>
      </x:extLst>
    </x:cfRule>
  </x:conditionalFormatting>
  <x:conditionalFormatting sqref="G5:G21">
    <x:cfRule type="expression" dxfId="5" priority="2">
      <x:formula>G5="Blocked"</x:formula>
    </x:cfRule>
    <x:cfRule type="expression" dxfId="6" priority="3">
      <x:formula>G5="Done"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6FAD1D5-35F0-875A-B2A6-EB233DF4A669}">
            <x14:dataBar gradient="1">
              <x14:cfvo type="min"/>
              <x14:cfvo type="max"/>
              <x14:fillColor rgb="FF1D67D2"/>
            </x14:dataBar>
          </x14:cfRule>
          <xm:sqref>H5:H21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34" hidden="0" customWidth="1"/>
    <x:col min="4" max="4" width="13" hidden="0" customWidth="1"/>
    <x:col min="5" max="5" width="13" hidden="0" customWidth="1"/>
    <x:col min="6" max="6" width="10" hidden="0" customWidth="1"/>
    <x:col min="7" max="7" width="13" hidden="0" customWidth="1"/>
    <x:col min="8" max="8" width="12" hidden="0" customWidth="1"/>
    <x:col min="9" max="9" width="16" hidden="0" customWidth="1"/>
    <x:col min="10" max="10" width="28" hidden="0" customWidth="1"/>
    <x:col min="11" max="11" width="30" hidden="0" customWidth="1"/>
    <x:col min="12" max="12" width="34" hidden="0" customWidth="1"/>
    <x:col min="13" max="13" width="30" hidden="0" customWidth="1"/>
    <x:col min="14" max="14" width="24" hidden="0" customWidth="1"/>
  </x:cols>
  <x:sheetData>
    <x:row r="1">
      <x:c r="A1" s="90" t="str">
        <x:v>PERSON 2 — SERVING, STREAMING &amp; INTEGRATION</x:v>
      </x:c>
      <x:c r="B1" s="90"/>
      <x:c r="C1" s="90"/>
      <x:c r="D1" s="90"/>
      <x:c r="E1" s="90"/>
      <x:c r="F1" s="90"/>
      <x:c r="G1" s="90"/>
      <x:c r="H1" s="90"/>
      <x:c r="I1" s="90"/>
      <x:c r="J1" s="90"/>
      <x:c r="K1" s="90"/>
      <x:c r="L1" s="90"/>
      <x:c r="M1" s="90"/>
      <x:c r="N1" s="90"/>
    </x:row>
    <x:row r="2">
      <x:c r="A2" s="90"/>
      <x:c r="B2" s="90"/>
      <x:c r="C2" s="90"/>
      <x:c r="D2" s="90"/>
      <x:c r="E2" s="90"/>
      <x:c r="F2" s="90"/>
      <x:c r="G2" s="90"/>
      <x:c r="H2" s="90"/>
      <x:c r="I2" s="90"/>
      <x:c r="J2" s="90"/>
      <x:c r="K2" s="90"/>
      <x:c r="L2" s="90"/>
      <x:c r="M2" s="90"/>
      <x:c r="N2" s="90"/>
    </x:row>
    <x:row r="4">
      <x:c r="A4" s="73" t="str">
        <x:v>WBS</x:v>
      </x:c>
      <x:c r="B4" s="73" t="str">
        <x:v>Phase</x:v>
      </x:c>
      <x:c r="C4" s="73" t="str">
        <x:v>Task</x:v>
      </x:c>
      <x:c r="D4" s="73" t="str">
        <x:v>Start</x:v>
      </x:c>
      <x:c r="E4" s="73" t="str">
        <x:v>Due</x:v>
      </x:c>
      <x:c r="F4" s="73" t="str">
        <x:v>Priority</x:v>
      </x:c>
      <x:c r="G4" s="73" t="str">
        <x:v>Status</x:v>
      </x:c>
      <x:c r="H4" s="73" t="str">
        <x:v>% Complete</x:v>
      </x:c>
      <x:c r="I4" s="73" t="str">
        <x:v>Dependency</x:v>
      </x:c>
      <x:c r="J4" s="73" t="str">
        <x:v>Input</x:v>
      </x:c>
      <x:c r="K4" s="73" t="str">
        <x:v>Output</x:v>
      </x:c>
      <x:c r="L4" s="73" t="str">
        <x:v>Definition of Done</x:v>
      </x:c>
      <x:c r="M4" s="73" t="str">
        <x:v>Evidence</x:v>
      </x:c>
      <x:c r="N4" s="73" t="str">
        <x:v>Handoff</x:v>
      </x:c>
    </x:row>
    <x:row r="5">
      <x:c r="A5" s="19" t="str">
        <x:v>0.1</x:v>
      </x:c>
      <x:c r="B5" s="19" t="str">
        <x:v>Phase 0 - Setup</x:v>
      </x:c>
      <x:c r="C5" s="19" t="str">
        <x:v>Lock architecture, repo, folder structure, config, naming conventions</x:v>
      </x:c>
      <x:c r="D5" s="21" t="n">
        <x:f>INDEX('02_Master_Plan'!G:G,MATCH(A5,'02_Master_Plan'!A:A,0))</x:f>
        <x:v>46289</x:v>
      </x:c>
      <x:c r="E5" s="21" t="n">
        <x:f>INDEX('02_Master_Plan'!H:H,MATCH(A5,'02_Master_Plan'!A:A,0))</x:f>
        <x:v>46289</x:v>
      </x:c>
      <x:c r="F5" s="19" t="str">
        <x:v>Critical</x:v>
      </x:c>
      <x:c r="G5" s="19" t="str">
        <x:f>INDEX('02_Master_Plan'!J:J,MATCH(A5,'02_Master_Plan'!A:A,0))</x:f>
        <x:v>Not Started</x:v>
      </x:c>
      <x:c r="H5" s="19" t="n">
        <x:f>INDEX('02_Master_Plan'!K:K,MATCH(A5,'02_Master_Plan'!A:A,0))</x:f>
        <x:v>0</x:v>
      </x:c>
      <x:c r="I5" s="19" t="str">
        <x:v>-</x:v>
      </x:c>
      <x:c r="J5" s="19" t="str">
        <x:v>Final architecture + project requirements</x:v>
      </x:c>
      <x:c r="K5" s="19" t="str">
        <x:v>Repo + README + config + agreed folder structure</x:v>
      </x:c>
      <x:c r="L5" s="19" t="str">
        <x:v>Both members can clone/run skeleton; config paths work</x:v>
      </x:c>
      <x:c r="M5" s="19" t="str">
        <x:v>README screenshot; repo structure; environment versions</x:v>
      </x:c>
      <x:c r="N5" s="19" t="str">
        <x:v>Both</x:v>
      </x:c>
    </x:row>
    <x:row r="6">
      <x:c r="A6" s="19" t="str">
        <x:v>0.2</x:v>
      </x:c>
      <x:c r="B6" s="19" t="str">
        <x:v>Phase 0 - Setup</x:v>
      </x:c>
      <x:c r="C6" s="19" t="str">
        <x:v>Freeze data contract and serving artifact contract</x:v>
      </x:c>
      <x:c r="D6" s="21" t="n">
        <x:f>INDEX('02_Master_Plan'!G:G,MATCH(A6,'02_Master_Plan'!A:A,0))</x:f>
        <x:v>46289</x:v>
      </x:c>
      <x:c r="E6" s="21" t="n">
        <x:f>INDEX('02_Master_Plan'!H:H,MATCH(A6,'02_Master_Plan'!A:A,0))</x:f>
        <x:v>46289</x:v>
      </x:c>
      <x:c r="F6" s="19" t="str">
        <x:v>Critical</x:v>
      </x:c>
      <x:c r="G6" s="19" t="str">
        <x:f>INDEX('02_Master_Plan'!J:J,MATCH(A6,'02_Master_Plan'!A:A,0))</x:f>
        <x:v>Not Started</x:v>
      </x:c>
      <x:c r="H6" s="19" t="n">
        <x:f>INDEX('02_Master_Plan'!K:K,MATCH(A6,'02_Master_Plan'!A:A,0))</x:f>
        <x:v>0</x:v>
      </x:c>
      <x:c r="I6" s="19" t="str">
        <x:v>0.1</x:v>
      </x:c>
      <x:c r="J6" s="19" t="str">
        <x:v>Architecture + MovieLens schema</x:v>
      </x:c>
      <x:c r="K6" s="19" t="str">
        <x:v>Signed-off schema contracts</x:v>
      </x:c>
      <x:c r="L6" s="19" t="str">
        <x:v>Person 2 can consume mock artifacts without manual edits</x:v>
      </x:c>
      <x:c r="M6" s="19" t="str">
        <x:v>Schema document; sample JSON/CSV</x:v>
      </x:c>
      <x:c r="N6" s="19" t="str">
        <x:v>Both</x:v>
      </x:c>
    </x:row>
    <x:row r="7">
      <x:c r="A7" s="19" t="str">
        <x:v>1.4</x:v>
      </x:c>
      <x:c r="B7" s="19" t="str">
        <x:v>Phase 1 - Data Foundation</x:v>
      </x:c>
      <x:c r="C7" s="19" t="str">
        <x:v>Create MongoDB serving schema using mock artifacts</x:v>
      </x:c>
      <x:c r="D7" s="21" t="n">
        <x:f>INDEX('02_Master_Plan'!G:G,MATCH(A7,'02_Master_Plan'!A:A,0))</x:f>
        <x:v>46289</x:v>
      </x:c>
      <x:c r="E7" s="21" t="n">
        <x:f>INDEX('02_Master_Plan'!H:H,MATCH(A7,'02_Master_Plan'!A:A,0))</x:f>
        <x:v>46290</x:v>
      </x:c>
      <x:c r="F7" s="19" t="str">
        <x:v>High</x:v>
      </x:c>
      <x:c r="G7" s="19" t="str">
        <x:f>INDEX('02_Master_Plan'!J:J,MATCH(A7,'02_Master_Plan'!A:A,0))</x:f>
        <x:v>Not Started</x:v>
      </x:c>
      <x:c r="H7" s="19" t="n">
        <x:f>INDEX('02_Master_Plan'!K:K,MATCH(A7,'02_Master_Plan'!A:A,0))</x:f>
        <x:v>0</x:v>
      </x:c>
      <x:c r="I7" s="19" t="str">
        <x:v>0.2</x:v>
      </x:c>
      <x:c r="J7" s="19" t="str">
        <x:v>Serving artifact contract</x:v>
      </x:c>
      <x:c r="K7" s="19" t="str">
        <x:v>MongoDB serving skeleton</x:v>
      </x:c>
      <x:c r="L7" s="19" t="str">
        <x:v>Mock artifacts can be inserted/read with target access patterns</x:v>
      </x:c>
      <x:c r="M7" s="19" t="str">
        <x:v>Collection list; index list; sample read-back</x:v>
      </x:c>
      <x:c r="N7" s="19" t="str">
        <x:v>2.4 / 3.1</x:v>
      </x:c>
    </x:row>
    <x:row r="8">
      <x:c r="A8" s="19" t="str">
        <x:v>2.3</x:v>
      </x:c>
      <x:c r="B8" s="19" t="str">
        <x:v>Phase 2 - Analytics &amp; Validation</x:v>
      </x:c>
      <x:c r="C8" s="19" t="str">
        <x:v>Build Recommendation API skeleton + User History Check</x:v>
      </x:c>
      <x:c r="D8" s="21" t="n">
        <x:f>INDEX('02_Master_Plan'!G:G,MATCH(A8,'02_Master_Plan'!A:A,0))</x:f>
        <x:v>46290</x:v>
      </x:c>
      <x:c r="E8" s="21" t="n">
        <x:f>INDEX('02_Master_Plan'!H:H,MATCH(A8,'02_Master_Plan'!A:A,0))</x:f>
        <x:v>46291</x:v>
      </x:c>
      <x:c r="F8" s="19" t="str">
        <x:v>High</x:v>
      </x:c>
      <x:c r="G8" s="19" t="str">
        <x:f>INDEX('02_Master_Plan'!J:J,MATCH(A8,'02_Master_Plan'!A:A,0))</x:f>
        <x:v>Not Started</x:v>
      </x:c>
      <x:c r="H8" s="19" t="n">
        <x:f>INDEX('02_Master_Plan'!K:K,MATCH(A8,'02_Master_Plan'!A:A,0))</x:f>
        <x:v>0</x:v>
      </x:c>
      <x:c r="I8" s="19" t="str">
        <x:v>1.4</x:v>
      </x:c>
      <x:c r="J8" s="19" t="str">
        <x:v>MongoDB mock serving store</x:v>
      </x:c>
      <x:c r="K8" s="19" t="str">
        <x:v>Working API skeleton</x:v>
      </x:c>
      <x:c r="L8" s="19" t="str">
        <x:v>Given userId, API returns valid history tier</x:v>
      </x:c>
      <x:c r="M8" s="19" t="str">
        <x:v>API request/response samples; logs</x:v>
      </x:c>
      <x:c r="N8" s="19" t="str">
        <x:v>2.4</x:v>
      </x:c>
    </x:row>
    <x:row r="9">
      <x:c r="A9" s="19" t="str">
        <x:v>2.4</x:v>
      </x:c>
      <x:c r="B9" s="19" t="str">
        <x:v>Phase 2 - Analytics &amp; Validation</x:v>
      </x:c>
      <x:c r="C9" s="19" t="str">
        <x:v>Implement 0/Few/Enough history router with mock data</x:v>
      </x:c>
      <x:c r="D9" s="21" t="n">
        <x:f>INDEX('02_Master_Plan'!G:G,MATCH(A9,'02_Master_Plan'!A:A,0))</x:f>
        <x:v>46291</x:v>
      </x:c>
      <x:c r="E9" s="21" t="n">
        <x:f>INDEX('02_Master_Plan'!H:H,MATCH(A9,'02_Master_Plan'!A:A,0))</x:f>
        <x:v>46291</x:v>
      </x:c>
      <x:c r="F9" s="19" t="str">
        <x:v>Critical</x:v>
      </x:c>
      <x:c r="G9" s="19" t="str">
        <x:f>INDEX('02_Master_Plan'!J:J,MATCH(A9,'02_Master_Plan'!A:A,0))</x:f>
        <x:v>Not Started</x:v>
      </x:c>
      <x:c r="H9" s="19" t="n">
        <x:f>INDEX('02_Master_Plan'!K:K,MATCH(A9,'02_Master_Plan'!A:A,0))</x:f>
        <x:v>0</x:v>
      </x:c>
      <x:c r="I9" s="19" t="str">
        <x:v>2.3</x:v>
      </x:c>
      <x:c r="J9" s="19" t="str">
        <x:v>API skeleton + mock artifacts</x:v>
      </x:c>
      <x:c r="K9" s="19" t="str">
        <x:v>History-based switching logic</x:v>
      </x:c>
      <x:c r="L9" s="19" t="str">
        <x:v>All three paths return candidates from correct sources</x:v>
      </x:c>
      <x:c r="M9" s="19" t="str">
        <x:v>3 test cases; routing logs</x:v>
      </x:c>
      <x:c r="N9" s="19" t="str">
        <x:v>3.2 / 4.2</x:v>
      </x:c>
    </x:row>
    <x:row r="10">
      <x:c r="A10" s="19" t="str">
        <x:v>4.1</x:v>
      </x:c>
      <x:c r="B10" s="19" t="str">
        <x:v>Phase 4 - Online Serving</x:v>
      </x:c>
      <x:c r="C10" s="19" t="str">
        <x:v>Load real serving artifacts into MongoDB</x:v>
      </x:c>
      <x:c r="D10" s="21" t="n">
        <x:f>INDEX('02_Master_Plan'!G:G,MATCH(A10,'02_Master_Plan'!A:A,0))</x:f>
        <x:v>46293</x:v>
      </x:c>
      <x:c r="E10" s="21" t="n">
        <x:f>INDEX('02_Master_Plan'!H:H,MATCH(A10,'02_Master_Plan'!A:A,0))</x:f>
        <x:v>46293</x:v>
      </x:c>
      <x:c r="F10" s="19" t="str">
        <x:v>Critical</x:v>
      </x:c>
      <x:c r="G10" s="19" t="str">
        <x:f>INDEX('02_Master_Plan'!J:J,MATCH(A10,'02_Master_Plan'!A:A,0))</x:f>
        <x:v>Not Started</x:v>
      </x:c>
      <x:c r="H10" s="19" t="n">
        <x:f>INDEX('02_Master_Plan'!K:K,MATCH(A10,'02_Master_Plan'!A:A,0))</x:f>
        <x:v>0</x:v>
      </x:c>
      <x:c r="I10" s="19" t="str">
        <x:v>3.5</x:v>
      </x:c>
      <x:c r="J10" s="19" t="str">
        <x:v>Popularity Top-N + Similar-Movie Lists + ALS Top-N</x:v>
      </x:c>
      <x:c r="K10" s="19" t="str">
        <x:v>MongoDB with real serving artifacts</x:v>
      </x:c>
      <x:c r="L10" s="19" t="str">
        <x:v>All artifact types query correctly; modelVersion visible</x:v>
      </x:c>
      <x:c r="M10" s="19" t="str">
        <x:v>Insert logs; sample queries; document screenshots</x:v>
      </x:c>
      <x:c r="N10" s="19" t="str">
        <x:v>4.2</x:v>
      </x:c>
    </x:row>
    <x:row r="11">
      <x:c r="A11" s="19" t="str">
        <x:v>4.2</x:v>
      </x:c>
      <x:c r="B11" s="19" t="str">
        <x:v>Phase 4 - Online Serving</x:v>
      </x:c>
      <x:c r="C11" s="19" t="str">
        <x:v>Complete online candidate retrieval, exclusion, fusion and Top-N</x:v>
      </x:c>
      <x:c r="D11" s="21" t="n">
        <x:f>INDEX('02_Master_Plan'!G:G,MATCH(A11,'02_Master_Plan'!A:A,0))</x:f>
        <x:v>46293</x:v>
      </x:c>
      <x:c r="E11" s="21" t="n">
        <x:f>INDEX('02_Master_Plan'!H:H,MATCH(A11,'02_Master_Plan'!A:A,0))</x:f>
        <x:v>46294</x:v>
      </x:c>
      <x:c r="F11" s="19" t="str">
        <x:v>Critical</x:v>
      </x:c>
      <x:c r="G11" s="19" t="str">
        <x:f>INDEX('02_Master_Plan'!J:J,MATCH(A11,'02_Master_Plan'!A:A,0))</x:f>
        <x:v>Not Started</x:v>
      </x:c>
      <x:c r="H11" s="19" t="n">
        <x:f>INDEX('02_Master_Plan'!K:K,MATCH(A11,'02_Master_Plan'!A:A,0))</x:f>
        <x:v>0</x:v>
      </x:c>
      <x:c r="I11" s="19" t="str">
        <x:v>2.4,4.1</x:v>
      </x:c>
      <x:c r="J11" s="19" t="str">
        <x:v>MongoDB + router</x:v>
      </x:c>
      <x:c r="K11" s="19" t="str">
        <x:v>End-to-end online recommendation</x:v>
      </x:c>
      <x:c r="L11" s="19" t="str">
        <x:v>0/Few/Enough cases return final Top-N and no already-rated items</x:v>
      </x:c>
      <x:c r="M11" s="19" t="str">
        <x:v>API traces; before/after exclusion; Top-N outputs</x:v>
      </x:c>
      <x:c r="N11" s="19" t="str">
        <x:v>5.1</x:v>
      </x:c>
    </x:row>
    <x:row r="12">
      <x:c r="A12" s="19" t="str">
        <x:v>5.1</x:v>
      </x:c>
      <x:c r="B12" s="19" t="str">
        <x:v>Phase 5 - Streaming</x:v>
      </x:c>
      <x:c r="C12" s="19" t="str">
        <x:v>Set up Kafka rating-event flow</x:v>
      </x:c>
      <x:c r="D12" s="21" t="n">
        <x:f>INDEX('02_Master_Plan'!G:G,MATCH(A12,'02_Master_Plan'!A:A,0))</x:f>
        <x:v>46294</x:v>
      </x:c>
      <x:c r="E12" s="21" t="n">
        <x:f>INDEX('02_Master_Plan'!H:H,MATCH(A12,'02_Master_Plan'!A:A,0))</x:f>
        <x:v>46294</x:v>
      </x:c>
      <x:c r="F12" s="19" t="str">
        <x:v>High</x:v>
      </x:c>
      <x:c r="G12" s="19" t="str">
        <x:f>INDEX('02_Master_Plan'!J:J,MATCH(A12,'02_Master_Plan'!A:A,0))</x:f>
        <x:v>Not Started</x:v>
      </x:c>
      <x:c r="H12" s="19" t="n">
        <x:f>INDEX('02_Master_Plan'!K:K,MATCH(A12,'02_Master_Plan'!A:A,0))</x:f>
        <x:v>0</x:v>
      </x:c>
      <x:c r="I12" s="19" t="str">
        <x:v>0.1</x:v>
      </x:c>
      <x:c r="J12" s="19" t="str">
        <x:v>Rating event schema</x:v>
      </x:c>
      <x:c r="K12" s="19" t="str">
        <x:v>Working Kafka event flow</x:v>
      </x:c>
      <x:c r="L12" s="19" t="str">
        <x:v>A rating event can be produced and consumed end-to-end</x:v>
      </x:c>
      <x:c r="M12" s="19" t="str">
        <x:v>Producer log; consumer output</x:v>
      </x:c>
      <x:c r="N12" s="19" t="str">
        <x:v>5.2</x:v>
      </x:c>
    </x:row>
    <x:row r="13">
      <x:c r="A13" s="19" t="str">
        <x:v>5.2</x:v>
      </x:c>
      <x:c r="B13" s="19" t="str">
        <x:v>Phase 5 - Streaming</x:v>
      </x:c>
      <x:c r="C13" s="19" t="str">
        <x:v>Implement Structured Streaming validation and state update</x:v>
      </x:c>
      <x:c r="D13" s="21" t="n">
        <x:f>INDEX('02_Master_Plan'!G:G,MATCH(A13,'02_Master_Plan'!A:A,0))</x:f>
        <x:v>46294</x:v>
      </x:c>
      <x:c r="E13" s="21" t="n">
        <x:f>INDEX('02_Master_Plan'!H:H,MATCH(A13,'02_Master_Plan'!A:A,0))</x:f>
        <x:v>46295</x:v>
      </x:c>
      <x:c r="F13" s="19" t="str">
        <x:v>Critical</x:v>
      </x:c>
      <x:c r="G13" s="19" t="str">
        <x:f>INDEX('02_Master_Plan'!J:J,MATCH(A13,'02_Master_Plan'!A:A,0))</x:f>
        <x:v>Not Started</x:v>
      </x:c>
      <x:c r="H13" s="19" t="n">
        <x:f>INDEX('02_Master_Plan'!K:K,MATCH(A13,'02_Master_Plan'!A:A,0))</x:f>
        <x:v>0</x:v>
      </x:c>
      <x:c r="I13" s="19" t="str">
        <x:v>5.1,1.3</x:v>
      </x:c>
      <x:c r="J13" s="19" t="str">
        <x:v>Kafka events + curated target + MongoDB</x:v>
      </x:c>
      <x:c r="K13" s="19" t="str">
        <x:v>Validated stream + updated user history + updated curated data</x:v>
      </x:c>
      <x:c r="L13" s="19" t="str">
        <x:v>Request after rating sees new history; new event persisted for retraining</x:v>
      </x:c>
      <x:c r="M13" s="19" t="str">
        <x:v>Streaming logs; MongoDB before/after; curated read-back</x:v>
      </x:c>
      <x:c r="N13" s="19" t="str">
        <x:v>6.1</x:v>
      </x:c>
    </x:row>
    <x:row r="14">
      <x:c r="A14" s="19" t="str">
        <x:v>6.1</x:v>
      </x:c>
      <x:c r="B14" s="19" t="str">
        <x:v>Phase 6 - Model Refresh</x:v>
      </x:c>
      <x:c r="C14" s="19" t="str">
        <x:v>Connect streaming feedback to scheduled retraining</x:v>
      </x:c>
      <x:c r="D14" s="21" t="n">
        <x:f>INDEX('02_Master_Plan'!G:G,MATCH(A14,'02_Master_Plan'!A:A,0))</x:f>
        <x:v>46295</x:v>
      </x:c>
      <x:c r="E14" s="21" t="n">
        <x:f>INDEX('02_Master_Plan'!H:H,MATCH(A14,'02_Master_Plan'!A:A,0))</x:f>
        <x:v>46295</x:v>
      </x:c>
      <x:c r="F14" s="19" t="str">
        <x:v>Critical</x:v>
      </x:c>
      <x:c r="G14" s="19" t="str">
        <x:f>INDEX('02_Master_Plan'!J:J,MATCH(A14,'02_Master_Plan'!A:A,0))</x:f>
        <x:v>Not Started</x:v>
      </x:c>
      <x:c r="H14" s="19" t="n">
        <x:f>INDEX('02_Master_Plan'!K:K,MATCH(A14,'02_Master_Plan'!A:A,0))</x:f>
        <x:v>0</x:v>
      </x:c>
      <x:c r="I14" s="19" t="str">
        <x:v>5.2,3.5</x:v>
      </x:c>
      <x:c r="J14" s="19" t="str">
        <x:v>Updated curated data + training pipeline</x:v>
      </x:c>
      <x:c r="K14" s="19" t="str">
        <x:v>Candidate Model Version</x:v>
      </x:c>
      <x:c r="L14" s="19" t="str">
        <x:v>New data is included and candidate outputs are reproducible</x:v>
      </x:c>
      <x:c r="M14" s="19" t="str">
        <x:v>Job log; candidate version; metrics</x:v>
      </x:c>
      <x:c r="N14" s="19" t="str">
        <x:v>6.2</x:v>
      </x:c>
    </x:row>
    <x:row r="15">
      <x:c r="A15" s="19" t="str">
        <x:v>6.2</x:v>
      </x:c>
      <x:c r="B15" s="19" t="str">
        <x:v>Phase 6 - Model Refresh</x:v>
      </x:c>
      <x:c r="C15" s="19" t="str">
        <x:v>Implement promotion gate and publish/rollback logic</x:v>
      </x:c>
      <x:c r="D15" s="21" t="n">
        <x:f>INDEX('02_Master_Plan'!G:G,MATCH(A15,'02_Master_Plan'!A:A,0))</x:f>
        <x:v>46295</x:v>
      </x:c>
      <x:c r="E15" s="21" t="n">
        <x:f>INDEX('02_Master_Plan'!H:H,MATCH(A15,'02_Master_Plan'!A:A,0))</x:f>
        <x:v>46295</x:v>
      </x:c>
      <x:c r="F15" s="19" t="str">
        <x:v>High</x:v>
      </x:c>
      <x:c r="G15" s="19" t="str">
        <x:f>INDEX('02_Master_Plan'!J:J,MATCH(A15,'02_Master_Plan'!A:A,0))</x:f>
        <x:v>Not Started</x:v>
      </x:c>
      <x:c r="H15" s="19" t="n">
        <x:f>INDEX('02_Master_Plan'!K:K,MATCH(A15,'02_Master_Plan'!A:A,0))</x:f>
        <x:v>0</x:v>
      </x:c>
      <x:c r="I15" s="19" t="str">
        <x:v>6.1</x:v>
      </x:c>
      <x:c r="J15" s="19" t="str">
        <x:v>Candidate metrics + active model metadata</x:v>
      </x:c>
      <x:c r="K15" s="19" t="str">
        <x:v>Promotion result + active version</x:v>
      </x:c>
      <x:c r="L15" s="19" t="str">
        <x:v>Fail path preserves old serving; pass path activates new version cleanly</x:v>
      </x:c>
      <x:c r="M15" s="19" t="str">
        <x:v>Gate result; active version before/after</x:v>
      </x:c>
      <x:c r="N15" s="19" t="str">
        <x:v>7.1</x:v>
      </x:c>
    </x:row>
    <x:row r="16">
      <x:c r="A16" s="19" t="str">
        <x:v>7.2</x:v>
      </x:c>
      <x:c r="B16" s="19" t="str">
        <x:v>Phase 7 - Performance &amp; Reproducibility</x:v>
      </x:c>
      <x:c r="C16" s="19" t="str">
        <x:v>Run serving/streaming validation and failure-path checks</x:v>
      </x:c>
      <x:c r="D16" s="21" t="n">
        <x:f>INDEX('02_Master_Plan'!G:G,MATCH(A16,'02_Master_Plan'!A:A,0))</x:f>
        <x:v>46296</x:v>
      </x:c>
      <x:c r="E16" s="21" t="n">
        <x:f>INDEX('02_Master_Plan'!H:H,MATCH(A16,'02_Master_Plan'!A:A,0))</x:f>
        <x:v>46296</x:v>
      </x:c>
      <x:c r="F16" s="19" t="str">
        <x:v>Medium</x:v>
      </x:c>
      <x:c r="G16" s="19" t="str">
        <x:f>INDEX('02_Master_Plan'!J:J,MATCH(A16,'02_Master_Plan'!A:A,0))</x:f>
        <x:v>Not Started</x:v>
      </x:c>
      <x:c r="H16" s="19" t="n">
        <x:f>INDEX('02_Master_Plan'!K:K,MATCH(A16,'02_Master_Plan'!A:A,0))</x:f>
        <x:v>0</x:v>
      </x:c>
      <x:c r="I16" s="19" t="str">
        <x:v>4.2,5.2,6.2</x:v>
      </x:c>
      <x:c r="J16" s="19" t="str">
        <x:v>Online API + Kafka/Streaming + promotion flow</x:v>
      </x:c>
      <x:c r="K16" s="19" t="str">
        <x:v>System validation evidence</x:v>
      </x:c>
      <x:c r="L16" s="19" t="str">
        <x:v>Critical failure paths behave predictably</x:v>
      </x:c>
      <x:c r="M16" s="19" t="str">
        <x:v>Test matrix; logs; screenshots</x:v>
      </x:c>
      <x:c r="N16" s="19" t="str">
        <x:v>8.1</x:v>
      </x:c>
    </x:row>
    <x:row r="17">
      <x:c r="A17" s="19" t="str">
        <x:v>8.1</x:v>
      </x:c>
      <x:c r="B17" s="19" t="str">
        <x:v>Phase 8 - Integration &amp; Demo</x:v>
      </x:c>
      <x:c r="C17" s="19" t="str">
        <x:v>Full end-to-end integration test and demo rehearsal</x:v>
      </x:c>
      <x:c r="D17" s="21" t="n">
        <x:f>INDEX('02_Master_Plan'!G:G,MATCH(A17,'02_Master_Plan'!A:A,0))</x:f>
        <x:v>46297</x:v>
      </x:c>
      <x:c r="E17" s="21" t="n">
        <x:f>INDEX('02_Master_Plan'!H:H,MATCH(A17,'02_Master_Plan'!A:A,0))</x:f>
        <x:v>46297</x:v>
      </x:c>
      <x:c r="F17" s="19" t="str">
        <x:v>Critical</x:v>
      </x:c>
      <x:c r="G17" s="19" t="str">
        <x:f>INDEX('02_Master_Plan'!J:J,MATCH(A17,'02_Master_Plan'!A:A,0))</x:f>
        <x:v>Not Started</x:v>
      </x:c>
      <x:c r="H17" s="19" t="n">
        <x:f>INDEX('02_Master_Plan'!K:K,MATCH(A17,'02_Master_Plan'!A:A,0))</x:f>
        <x:v>0</x:v>
      </x:c>
      <x:c r="I17" s="19" t="str">
        <x:v>7.1,7.2</x:v>
      </x:c>
      <x:c r="J17" s="19" t="str">
        <x:v>All components</x:v>
      </x:c>
      <x:c r="K17" s="19" t="str">
        <x:v>Stable end-to-end demo flow</x:v>
      </x:c>
      <x:c r="L17" s="19" t="str">
        <x:v>No broken interface; demo reproducible from README</x:v>
      </x:c>
      <x:c r="M17" s="19" t="str">
        <x:v>Demo checklist; logs; final screenshots</x:v>
      </x:c>
      <x:c r="N17" s="19" t="str">
        <x:v>8.2</x:v>
      </x:c>
    </x:row>
    <x:row r="18">
      <x:c r="A18" s="19" t="str">
        <x:v>8.2</x:v>
      </x:c>
      <x:c r="B18" s="19" t="str">
        <x:v>Phase 8 - Integration &amp; Demo</x:v>
      </x:c>
      <x:c r="C18" s="19" t="str">
        <x:v>Evidence pack, freeze, handover for report/slides</x:v>
      </x:c>
      <x:c r="D18" s="21" t="n">
        <x:f>INDEX('02_Master_Plan'!G:G,MATCH(A18,'02_Master_Plan'!A:A,0))</x:f>
        <x:v>46298</x:v>
      </x:c>
      <x:c r="E18" s="21" t="n">
        <x:f>INDEX('02_Master_Plan'!H:H,MATCH(A18,'02_Master_Plan'!A:A,0))</x:f>
        <x:v>46298</x:v>
      </x:c>
      <x:c r="F18" s="19" t="str">
        <x:v>Critical</x:v>
      </x:c>
      <x:c r="G18" s="19" t="str">
        <x:f>INDEX('02_Master_Plan'!J:J,MATCH(A18,'02_Master_Plan'!A:A,0))</x:f>
        <x:v>Not Started</x:v>
      </x:c>
      <x:c r="H18" s="19" t="n">
        <x:f>INDEX('02_Master_Plan'!K:K,MATCH(A18,'02_Master_Plan'!A:A,0))</x:f>
        <x:v>0</x:v>
      </x:c>
      <x:c r="I18" s="19" t="str">
        <x:v>8.1</x:v>
      </x:c>
      <x:c r="J18" s="19" t="str">
        <x:v>Final code + outputs</x:v>
      </x:c>
      <x:c r="K18" s="19" t="str">
        <x:v>Final evidence pack + release tag</x:v>
      </x:c>
      <x:c r="L18" s="19" t="str">
        <x:v>Every rubric claim has evidence; code/config frozen</x:v>
      </x:c>
      <x:c r="M18" s="19" t="str">
        <x:v>Evidence folder; release tag; checklist</x:v>
      </x:c>
      <x:c r="N18" s="19" t="str">
        <x:v>Report/Slide owner</x:v>
      </x:c>
    </x:row>
  </x:sheetData>
  <x:mergeCells>
    <x:mergeCell ref="A1:N2"/>
  </x:mergeCells>
  <x:conditionalFormatting sqref="H5:H18">
    <x:cfRule type="dataBar" priority="1">
      <x:dataBar>
        <x:cfvo type="min"/>
        <x:cfvo type="max"/>
        <x:color rgb="FF0E9A92"/>
      </x:dataBar>
      <x:extLst>
        <x:ext xmlns:x14="http://schemas.microsoft.com/office/spreadsheetml/2009/9/main" uri="{B025F937-C7B1-47D3-B67F-A62EFF666E3E}">
          <x14:id>{A64D26A8-EC3E-8231-3540-640F9F49F518}</x14:id>
        </x:ext>
      </x:extLst>
    </x:cfRule>
  </x:conditionalFormatting>
  <x:conditionalFormatting sqref="G5:G18">
    <x:cfRule type="expression" dxfId="7" priority="2">
      <x:formula>G5="Blocked"</x:formula>
    </x:cfRule>
    <x:cfRule type="expression" dxfId="8" priority="3">
      <x:formula>G5="Done"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64D26A8-EC3E-8231-3540-640F9F49F518}">
            <x14:dataBar gradient="1">
              <x14:cfvo type="min"/>
              <x14:cfvo type="max"/>
              <x14:fillColor rgb="FF0E9A92"/>
            </x14:dataBar>
          </x14:cfRule>
          <xm:sqref>H5:H18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2" hidden="0" customWidth="1"/>
    <x:col min="3" max="3" width="12" hidden="0" customWidth="1"/>
    <x:col min="4" max="4" width="11" hidden="0" customWidth="1"/>
    <x:col min="5" max="5" width="28" hidden="0" customWidth="1"/>
    <x:col min="6" max="6" width="30" hidden="0" customWidth="1"/>
    <x:col min="7" max="7" width="40" hidden="0" customWidth="1"/>
    <x:col min="8" max="8" width="20" hidden="0" customWidth="1"/>
    <x:col min="9" max="9" width="14" hidden="0" customWidth="1"/>
  </x:cols>
  <x:sheetData>
    <x:row r="1">
      <x:c r="A1" s="83" t="str">
        <x:v>MILESTONES, HANDOFFS &amp; ACCEPTANCE GATES</x:v>
      </x:c>
      <x:c r="B1" s="83"/>
      <x:c r="C1" s="83"/>
      <x:c r="D1" s="83"/>
      <x:c r="E1" s="83"/>
      <x:c r="F1" s="83"/>
      <x:c r="G1" s="83"/>
      <x:c r="H1" s="83"/>
      <x:c r="I1" s="83"/>
    </x:row>
    <x:row r="2">
      <x:c r="A2" s="83"/>
      <x:c r="B2" s="83"/>
      <x:c r="C2" s="83"/>
      <x:c r="D2" s="83"/>
      <x:c r="E2" s="83"/>
      <x:c r="F2" s="83"/>
      <x:c r="G2" s="83"/>
      <x:c r="H2" s="83"/>
      <x:c r="I2" s="83"/>
    </x:row>
    <x:row r="4">
      <x:c r="A4" s="75" t="str">
        <x:v>ID</x:v>
      </x:c>
      <x:c r="B4" s="75" t="str">
        <x:v>Milestone / Handoff</x:v>
      </x:c>
      <x:c r="C4" s="75" t="str">
        <x:v>Owner</x:v>
      </x:c>
      <x:c r="D4" s="75" t="str">
        <x:v>Target Day</x:v>
      </x:c>
      <x:c r="E4" s="75" t="str">
        <x:v>Input</x:v>
      </x:c>
      <x:c r="F4" s="75" t="str">
        <x:v>Output</x:v>
      </x:c>
      <x:c r="G4" s="75" t="str">
        <x:v>Acceptance Gate</x:v>
      </x:c>
      <x:c r="H4" s="75" t="str">
        <x:v>Consumer</x:v>
      </x:c>
      <x:c r="I4" s="75" t="str">
        <x:v>Status</x:v>
      </x:c>
    </x:row>
    <x:row r="5">
      <x:c r="A5" s="19" t="str">
        <x:v>M0</x:v>
      </x:c>
      <x:c r="B5" s="19" t="str">
        <x:v>Architecture + contracts frozen</x:v>
      </x:c>
      <x:c r="C5" s="19" t="str">
        <x:v>Both</x:v>
      </x:c>
      <x:c r="D5" s="19" t="n">
        <x:v>1</x:v>
      </x:c>
      <x:c r="E5" s="19" t="str">
        <x:v>Final architecture</x:v>
      </x:c>
      <x:c r="F5" s="19" t="str">
        <x:v>Repo + data/artifact contracts</x:v>
      </x:c>
      <x:c r="G5" s="19" t="str">
        <x:v>Both members agree and can run skeleton</x:v>
      </x:c>
      <x:c r="H5" s="19" t="str">
        <x:v>Both</x:v>
      </x:c>
      <x:c r="I5" s="19" t="str">
        <x:v>Not Started</x:v>
      </x:c>
    </x:row>
    <x:row r="6">
      <x:c r="A6" s="19" t="str">
        <x:v>M1</x:v>
      </x:c>
      <x:c r="B6" s="19" t="str">
        <x:v>Curated Data Ready</x:v>
      </x:c>
      <x:c r="C6" s="19" t="str">
        <x:v>Person 1</x:v>
      </x:c>
      <x:c r="D6" s="19" t="n">
        <x:v>2</x:v>
      </x:c>
      <x:c r="E6" s="19" t="str">
        <x:v>MovieLens CSV</x:v>
      </x:c>
      <x:c r="F6" s="19" t="str">
        <x:v>Validated Curated Parquet</x:v>
      </x:c>
      <x:c r="G6" s="19" t="str">
        <x:v>Read-back + schema/count validation</x:v>
      </x:c>
      <x:c r="H6" s="19" t="str">
        <x:v>Modeling + Streaming</x:v>
      </x:c>
      <x:c r="I6" s="19" t="str">
        <x:v>Not Started</x:v>
      </x:c>
    </x:row>
    <x:row r="7">
      <x:c r="A7" s="19" t="str">
        <x:v>M2</x:v>
      </x:c>
      <x:c r="B7" s="19" t="str">
        <x:v>Offline Models Ready</x:v>
      </x:c>
      <x:c r="C7" s="19" t="str">
        <x:v>Person 1</x:v>
      </x:c>
      <x:c r="D7" s="19" t="n">
        <x:v>5</x:v>
      </x:c>
      <x:c r="E7" s="19" t="str">
        <x:v>Curated data</x:v>
      </x:c>
      <x:c r="F7" s="19" t="str">
        <x:v>Baselines + Content + ALS + metrics</x:v>
      </x:c>
      <x:c r="G7" s="19" t="str">
        <x:v>RMSE + Recall@K/NDCG@K + artifacts valid</x:v>
      </x:c>
      <x:c r="H7" s="19" t="str">
        <x:v>Person 2</x:v>
      </x:c>
      <x:c r="I7" s="19" t="str">
        <x:v>Not Started</x:v>
      </x:c>
    </x:row>
    <x:row r="8">
      <x:c r="A8" s="19" t="str">
        <x:v>M3</x:v>
      </x:c>
      <x:c r="B8" s="19" t="str">
        <x:v>Serving Integration Ready</x:v>
      </x:c>
      <x:c r="C8" s="19" t="str">
        <x:v>Person 2</x:v>
      </x:c>
      <x:c r="D8" s="19" t="n">
        <x:v>6</x:v>
      </x:c>
      <x:c r="E8" s="19" t="str">
        <x:v>Real serving artifacts</x:v>
      </x:c>
      <x:c r="F8" s="19" t="str">
        <x:v>MongoDB + API + routing + final Top-N</x:v>
      </x:c>
      <x:c r="G8" s="19" t="str">
        <x:v>0/Few/Enough cases work; no already-rated items</x:v>
      </x:c>
      <x:c r="H8" s="19" t="str">
        <x:v>Integration</x:v>
      </x:c>
      <x:c r="I8" s="19" t="str">
        <x:v>Not Started</x:v>
      </x:c>
    </x:row>
    <x:row r="9">
      <x:c r="A9" s="19" t="str">
        <x:v>M4</x:v>
      </x:c>
      <x:c r="B9" s="19" t="str">
        <x:v>Streaming Feedback Ready</x:v>
      </x:c>
      <x:c r="C9" s="19" t="str">
        <x:v>Person 2</x:v>
      </x:c>
      <x:c r="D9" s="19" t="n">
        <x:v>7</x:v>
      </x:c>
      <x:c r="E9" s="19" t="str">
        <x:v>Rating event</x:v>
      </x:c>
      <x:c r="F9" s="19" t="str">
        <x:v>Kafka + Structured Streaming + history update</x:v>
      </x:c>
      <x:c r="G9" s="19" t="str">
        <x:v>New rating appears in history and curated data</x:v>
      </x:c>
      <x:c r="H9" s="19" t="str">
        <x:v>Retraining</x:v>
      </x:c>
      <x:c r="I9" s="19" t="str">
        <x:v>Not Started</x:v>
      </x:c>
    </x:row>
    <x:row r="10">
      <x:c r="A10" s="19" t="str">
        <x:v>M5</x:v>
      </x:c>
      <x:c r="B10" s="19" t="str">
        <x:v>Model Refresh Ready</x:v>
      </x:c>
      <x:c r="C10" s="19" t="str">
        <x:v>Both</x:v>
      </x:c>
      <x:c r="D10" s="19" t="n">
        <x:v>7</x:v>
      </x:c>
      <x:c r="E10" s="19" t="str">
        <x:v>Updated curated data</x:v>
      </x:c>
      <x:c r="F10" s="19" t="str">
        <x:v>Candidate model + promotion result</x:v>
      </x:c>
      <x:c r="G10" s="19" t="str">
        <x:v>Fail keeps current; pass publishes new version</x:v>
      </x:c>
      <x:c r="H10" s="19" t="str">
        <x:v>Integration</x:v>
      </x:c>
      <x:c r="I10" s="19" t="str">
        <x:v>Not Started</x:v>
      </x:c>
    </x:row>
    <x:row r="11">
      <x:c r="A11" s="19" t="str">
        <x:v>M6</x:v>
      </x:c>
      <x:c r="B11" s="19" t="str">
        <x:v>Performance &amp; Validation Ready</x:v>
      </x:c>
      <x:c r="C11" s="19" t="str">
        <x:v>Both</x:v>
      </x:c>
      <x:c r="D11" s="19" t="n">
        <x:v>8</x:v>
      </x:c>
      <x:c r="E11" s="19" t="str">
        <x:v>Full system</x:v>
      </x:c>
      <x:c r="F11" s="19" t="str">
        <x:v>Perf/repro/test evidence</x:v>
      </x:c>
      <x:c r="G11" s="19" t="str">
        <x:v>Controlled experiment + failure checks complete</x:v>
      </x:c>
      <x:c r="H11" s="19" t="str">
        <x:v>Final demo</x:v>
      </x:c>
      <x:c r="I11" s="19" t="str">
        <x:v>Not Started</x:v>
      </x:c>
    </x:row>
    <x:row r="12">
      <x:c r="A12" s="19" t="str">
        <x:v>M7</x:v>
      </x:c>
      <x:c r="B12" s="19" t="str">
        <x:v>Final End-to-End Demo</x:v>
      </x:c>
      <x:c r="C12" s="19" t="str">
        <x:v>Both</x:v>
      </x:c>
      <x:c r="D12" s="19" t="n">
        <x:v>9</x:v>
      </x:c>
      <x:c r="E12" s="19" t="str">
        <x:v>All components</x:v>
      </x:c>
      <x:c r="F12" s="19" t="str">
        <x:v>Stable demo flow</x:v>
      </x:c>
      <x:c r="G12" s="19" t="str">
        <x:v>Historical → serving → feedback → refresh demonstrated</x:v>
      </x:c>
      <x:c r="H12" s="19" t="str">
        <x:v>Report/Slides</x:v>
      </x:c>
      <x:c r="I12" s="19" t="str">
        <x:v>Not Started</x:v>
      </x:c>
    </x:row>
    <x:row r="13">
      <x:c r="A13" s="19" t="str">
        <x:v>M8</x:v>
      </x:c>
      <x:c r="B13" s="19" t="str">
        <x:v>Final Freeze / Evidence Pack</x:v>
      </x:c>
      <x:c r="C13" s="19" t="str">
        <x:v>Both</x:v>
      </x:c>
      <x:c r="D13" s="19" t="n">
        <x:v>10</x:v>
      </x:c>
      <x:c r="E13" s="19" t="str">
        <x:v>Final code/results</x:v>
      </x:c>
      <x:c r="F13" s="19" t="str">
        <x:v>Release tag + evidence folder</x:v>
      </x:c>
      <x:c r="G13" s="19" t="str">
        <x:v>Every claim backed by evidence</x:v>
      </x:c>
      <x:c r="H13" s="19" t="str">
        <x:v>Submission</x:v>
      </x:c>
      <x:c r="I13" s="19" t="str">
        <x:v>Not Started</x:v>
      </x:c>
    </x:row>
  </x:sheetData>
  <x:mergeCells>
    <x:mergeCell ref="A1:I2"/>
  </x:mergeCells>
  <x:conditionalFormatting sqref="I5:I13">
    <x:cfRule type="expression" dxfId="9" priority="1">
      <x:formula>I5="Done"</x:formula>
    </x:cfRule>
    <x:cfRule type="expression" dxfId="10" priority="2">
      <x:formula>I5="Blocked"</x:formula>
    </x:cfRule>
  </x:conditionalFormatting>
  <x:dataValidations count="1">
    <x:dataValidation type="list" sqref="I5:I13">
      <x:formula1>"Not Started,In Progress,Blocked,Done"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8" hidden="0" customWidth="1"/>
    <x:col min="3" max="3" width="16" hidden="0" customWidth="1"/>
    <x:col min="4" max="4" width="12" hidden="0" customWidth="1"/>
    <x:col min="5" max="5" width="10" hidden="0" customWidth="1"/>
    <x:col min="6" max="6" width="9" hidden="0" customWidth="1"/>
    <x:col min="7" max="7" width="12" hidden="0" customWidth="1"/>
    <x:col min="8" max="8" width="44" hidden="0" customWidth="1"/>
    <x:col min="9" max="9" width="32" hidden="0" customWidth="1"/>
    <x:col min="10" max="10" width="13" hidden="0" customWidth="1"/>
  </x:cols>
  <x:sheetData>
    <x:row r="1">
      <x:c r="A1" s="83" t="str">
        <x:v>RISK &amp; ISSUE REGISTER</x:v>
      </x:c>
      <x:c r="B1" s="83"/>
      <x:c r="C1" s="83"/>
      <x:c r="D1" s="83"/>
      <x:c r="E1" s="83"/>
      <x:c r="F1" s="83"/>
      <x:c r="G1" s="83"/>
      <x:c r="H1" s="83"/>
      <x:c r="I1" s="83"/>
      <x:c r="J1" s="83"/>
    </x:row>
    <x:row r="2">
      <x:c r="A2" s="83"/>
      <x:c r="B2" s="83"/>
      <x:c r="C2" s="83"/>
      <x:c r="D2" s="83"/>
      <x:c r="E2" s="83"/>
      <x:c r="F2" s="83"/>
      <x:c r="G2" s="83"/>
      <x:c r="H2" s="83"/>
      <x:c r="I2" s="83"/>
      <x:c r="J2" s="83"/>
    </x:row>
    <x:row r="4">
      <x:c r="A4" s="94" t="str">
        <x:v>ID</x:v>
      </x:c>
      <x:c r="B4" s="94" t="str">
        <x:v>Risk / Issue</x:v>
      </x:c>
      <x:c r="C4" s="94" t="str">
        <x:v>Category</x:v>
      </x:c>
      <x:c r="D4" s="94" t="str">
        <x:v>Probability</x:v>
      </x:c>
      <x:c r="E4" s="94" t="str">
        <x:v>Impact</x:v>
      </x:c>
      <x:c r="F4" s="94" t="str">
        <x:v>Score</x:v>
      </x:c>
      <x:c r="G4" s="94" t="str">
        <x:v>Owner</x:v>
      </x:c>
      <x:c r="H4" s="94" t="str">
        <x:v>Mitigation / Next Action</x:v>
      </x:c>
      <x:c r="I4" s="94" t="str">
        <x:v>Trigger / Evidence</x:v>
      </x:c>
      <x:c r="J4" s="94" t="str">
        <x:v>Status</x:v>
      </x:c>
    </x:row>
    <x:row r="5">
      <x:c r="A5" s="19" t="str">
        <x:v>R1</x:v>
      </x:c>
      <x:c r="B5" s="19" t="str">
        <x:v>Person 1 becomes bottleneck because data + modeling workload is heavy</x:v>
      </x:c>
      <x:c r="C5" s="19" t="str">
        <x:v>Capacity</x:v>
      </x:c>
      <x:c r="D5" s="19" t="n">
        <x:v>4</x:v>
      </x:c>
      <x:c r="E5" s="19" t="n">
        <x:v>5</x:v>
      </x:c>
      <x:c r="F5" s="19" t="n">
        <x:f>D5*E5</x:f>
        <x:v>20</x:v>
      </x:c>
      <x:c r="G5" s="19" t="str">
        <x:v>Both</x:v>
      </x:c>
      <x:c r="H5" s="19" t="str">
        <x:v>Use mock artifact contract so Person 2 builds in parallel; freeze scope after core pipeline</x:v>
      </x:c>
      <x:c r="I5" s="19" t="str">
        <x:v>Person 1 slips &gt; 1 day</x:v>
      </x:c>
      <x:c r="J5" s="19" t="str">
        <x:v>Open</x:v>
      </x:c>
    </x:row>
    <x:row r="6">
      <x:c r="A6" s="19" t="str">
        <x:v>R2</x:v>
      </x:c>
      <x:c r="B6" s="19" t="str">
        <x:v>Serving artifact schema changes late and breaks MongoDB/API</x:v>
      </x:c>
      <x:c r="C6" s="19" t="str">
        <x:v>Integration</x:v>
      </x:c>
      <x:c r="D6" s="19" t="n">
        <x:v>3</x:v>
      </x:c>
      <x:c r="E6" s="19" t="n">
        <x:v>5</x:v>
      </x:c>
      <x:c r="F6" s="19" t="n">
        <x:f>D6*E6</x:f>
        <x:v>15</x:v>
      </x:c>
      <x:c r="G6" s="19" t="str">
        <x:v>Both</x:v>
      </x:c>
      <x:c r="H6" s="19" t="str">
        <x:v>Freeze contract on Day 1; version schemas; validate before handoff</x:v>
      </x:c>
      <x:c r="I6" s="19" t="str">
        <x:v>Manual field renaming required</x:v>
      </x:c>
      <x:c r="J6" s="19" t="str">
        <x:v>Open</x:v>
      </x:c>
    </x:row>
    <x:row r="7">
      <x:c r="A7" s="19" t="str">
        <x:v>R3</x:v>
      </x:c>
      <x:c r="B7" s="19" t="str">
        <x:v>MapReduce input format does not match Parquet implementation</x:v>
      </x:c>
      <x:c r="C7" s="19" t="str">
        <x:v>Technical</x:v>
      </x:c>
      <x:c r="D7" s="19" t="n">
        <x:v>3</x:v>
      </x:c>
      <x:c r="E7" s="19" t="n">
        <x:v>3</x:v>
      </x:c>
      <x:c r="F7" s="19" t="n">
        <x:f>D7*E7</x:f>
        <x:v>9</x:v>
      </x:c>
      <x:c r="G7" s="19" t="str">
        <x:v>Person 1</x:v>
      </x:c>
      <x:c r="H7" s="19" t="str">
        <x:v>Use cleaned ratings CSV/Text for Hadoop Streaming if direct Parquet is unsupported</x:v>
      </x:c>
      <x:c r="I7" s="19" t="str">
        <x:v>MR job cannot read curated format</x:v>
      </x:c>
      <x:c r="J7" s="19" t="str">
        <x:v>Monitoring</x:v>
      </x:c>
    </x:row>
    <x:row r="8">
      <x:c r="A8" s="19" t="str">
        <x:v>R4</x:v>
      </x:c>
      <x:c r="B8" s="19" t="str">
        <x:v>Streaming is overbuilt before core batch/model pipeline works</x:v>
      </x:c>
      <x:c r="C8" s="19" t="str">
        <x:v>Scope</x:v>
      </x:c>
      <x:c r="D8" s="19" t="n">
        <x:v>3</x:v>
      </x:c>
      <x:c r="E8" s="19" t="n">
        <x:v>4</x:v>
      </x:c>
      <x:c r="F8" s="19" t="n">
        <x:f>D8*E8</x:f>
        <x:v>12</x:v>
      </x:c>
      <x:c r="G8" s="19" t="str">
        <x:v>Person 2</x:v>
      </x:c>
      <x:c r="H8" s="19" t="str">
        <x:v>Prioritize core serving and use minimal Kafka/Structured Streaming demo</x:v>
      </x:c>
      <x:c r="I8" s="19" t="str">
        <x:v>Core ALS/serving not ready by Day 5</x:v>
      </x:c>
      <x:c r="J8" s="19" t="str">
        <x:v>Open</x:v>
      </x:c>
    </x:row>
    <x:row r="9">
      <x:c r="A9" s="19" t="str">
        <x:v>R5</x:v>
      </x:c>
      <x:c r="B9" s="19" t="str">
        <x:v>Evaluation leakage or incorrect ranking ground truth</x:v>
      </x:c>
      <x:c r="C9" s="19" t="str">
        <x:v>Model Quality</x:v>
      </x:c>
      <x:c r="D9" s="19" t="n">
        <x:v>2</x:v>
      </x:c>
      <x:c r="E9" s="19" t="n">
        <x:v>5</x:v>
      </x:c>
      <x:c r="F9" s="19" t="n">
        <x:f>D9*E9</x:f>
        <x:v>10</x:v>
      </x:c>
      <x:c r="G9" s="19" t="str">
        <x:v>Person 1</x:v>
      </x:c>
      <x:c r="H9" s="19" t="str">
        <x:v>Freeze split method, seed, relevant-item threshold before modeling</x:v>
      </x:c>
      <x:c r="I9" s="19" t="str">
        <x:v>Unexpectedly perfect metrics / inconsistent reruns</x:v>
      </x:c>
      <x:c r="J9" s="19" t="str">
        <x:v>Open</x:v>
      </x:c>
    </x:row>
    <x:row r="10">
      <x:c r="A10" s="19" t="str">
        <x:v>R6</x:v>
      </x:c>
      <x:c r="B10" s="19" t="str">
        <x:v>Cold-start thresholds treated as universal truth</x:v>
      </x:c>
      <x:c r="C10" s="19" t="str">
        <x:v>Design</x:v>
      </x:c>
      <x:c r="D10" s="19" t="n">
        <x:v>2</x:v>
      </x:c>
      <x:c r="E10" s="19" t="n">
        <x:v>3</x:v>
      </x:c>
      <x:c r="F10" s="19" t="n">
        <x:f>D10*E10</x:f>
        <x:v>6</x:v>
      </x:c>
      <x:c r="G10" s="19" t="str">
        <x:v>Both</x:v>
      </x:c>
      <x:c r="H10" s="19" t="str">
        <x:v>Label thresholds as configurable design parameters and test cases</x:v>
      </x:c>
      <x:c r="I10" s="19" t="str">
        <x:v>Defense question challenges threshold choice</x:v>
      </x:c>
      <x:c r="J10" s="19" t="str">
        <x:v>Monitoring</x:v>
      </x:c>
    </x:row>
    <x:row r="11">
      <x:c r="A11" s="19" t="str">
        <x:v>R7</x:v>
      </x:c>
      <x:c r="B11" s="19" t="str">
        <x:v>Candidate model auto-deployed without gate</x:v>
      </x:c>
      <x:c r="C11" s="19" t="str">
        <x:v>Operations</x:v>
      </x:c>
      <x:c r="D11" s="19" t="n">
        <x:v>2</x:v>
      </x:c>
      <x:c r="E11" s="19" t="n">
        <x:v>5</x:v>
      </x:c>
      <x:c r="F11" s="19" t="n">
        <x:f>D11*E11</x:f>
        <x:v>10</x:v>
      </x:c>
      <x:c r="G11" s="19" t="str">
        <x:v>Person 2</x:v>
      </x:c>
      <x:c r="H11" s="19" t="str">
        <x:v>Keep current active model until explicit pass</x:v>
      </x:c>
      <x:c r="I11" s="19" t="str">
        <x:v>Active version changes before validation</x:v>
      </x:c>
      <x:c r="J11" s="19" t="str">
        <x:v>Open</x:v>
      </x:c>
    </x:row>
    <x:row r="12">
      <x:c r="A12" s="19" t="str">
        <x:v>R8</x:v>
      </x:c>
      <x:c r="B12" s="19" t="str">
        <x:v>Evidence missing although code works</x:v>
      </x:c>
      <x:c r="C12" s="19" t="str">
        <x:v>Delivery</x:v>
      </x:c>
      <x:c r="D12" s="19" t="n">
        <x:v>4</x:v>
      </x:c>
      <x:c r="E12" s="19" t="n">
        <x:v>4</x:v>
      </x:c>
      <x:c r="F12" s="19" t="n">
        <x:f>D12*E12</x:f>
        <x:v>16</x:v>
      </x:c>
      <x:c r="G12" s="19" t="str">
        <x:v>Both</x:v>
      </x:c>
      <x:c r="H12" s="19" t="str">
        <x:v>Evidence is part of Definition of Done; capture during each task</x:v>
      </x:c>
      <x:c r="I12" s="19" t="str">
        <x:v>Final week requires re-running everything</x:v>
      </x:c>
      <x:c r="J12" s="19" t="str">
        <x:v>Open</x:v>
      </x:c>
    </x:row>
  </x:sheetData>
  <x:mergeCells>
    <x:mergeCell ref="A1:J2"/>
  </x:mergeCells>
  <x:conditionalFormatting sqref="F5:F12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dataValidations count="1">
    <x:dataValidation type="list" sqref="J5:J12">
      <x:formula1>"Open,Monitoring,Closed"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18" t="str">
        <x:v>PROJECT CONTROL SETTINGS</x:v>
      </x:c>
      <x:c r="B1" s="18"/>
      <x:c r="C1" s="18"/>
      <x:c r="D1" s="18"/>
    </x:row>
    <x:row r="2">
      <x:c r="A2" s="19"/>
      <x:c r="B2" s="19"/>
      <x:c r="C2" s="19"/>
      <x:c r="D2" s="19"/>
    </x:row>
    <x:row r="3">
      <x:c r="A3" s="20" t="str">
        <x:v>Project</x:v>
      </x:c>
      <x:c r="B3" s="19" t="str">
        <x:v>MovieLens Hybrid Recommendation System</x:v>
      </x:c>
      <x:c r="C3" s="19"/>
      <x:c r="D3" s="19"/>
    </x:row>
    <x:row r="4">
      <x:c r="A4" s="20" t="str">
        <x:v>Sprint Start Date</x:v>
      </x:c>
      <x:c r="B4" s="21" t="n">
        <x:v>46289</x:v>
      </x:c>
      <x:c r="C4" s="19"/>
      <x:c r="D4" s="19"/>
    </x:row>
    <x:row r="5">
      <x:c r="A5" s="20" t="str">
        <x:v>Sprint Length (days)</x:v>
      </x:c>
      <x:c r="B5" s="19" t="n">
        <x:v>10</x:v>
      </x:c>
      <x:c r="C5" s="19"/>
      <x:c r="D5" s="19"/>
    </x:row>
    <x:row r="6">
      <x:c r="A6" s="20" t="str">
        <x:v>Project Manager</x:v>
      </x:c>
      <x:c r="B6" s="19" t="str">
        <x:v>Project Lead</x:v>
      </x:c>
      <x:c r="C6" s="19"/>
      <x:c r="D6" s="19"/>
    </x:row>
    <x:row r="7">
      <x:c r="A7" s="20" t="str">
        <x:v>Person 1</x:v>
      </x:c>
      <x:c r="B7" s="19" t="str">
        <x:v>Data &amp; Recommendation Modeling</x:v>
      </x:c>
      <x:c r="C7" s="19"/>
      <x:c r="D7" s="19"/>
    </x:row>
    <x:row r="8">
      <x:c r="A8" s="20" t="str">
        <x:v>Person 2</x:v>
      </x:c>
      <x:c r="B8" s="19" t="str">
        <x:v>Serving, Streaming &amp; Integration</x:v>
      </x:c>
      <x:c r="C8" s="19"/>
      <x:c r="D8" s="19"/>
    </x:row>
    <x:row r="9">
      <x:c r="A9" s="20" t="str">
        <x:v>Progress Formula</x:v>
      </x:c>
      <x:c r="B9" s="19" t="str">
        <x:v>Based on task % complete</x:v>
      </x:c>
      <x:c r="C9" s="19"/>
      <x:c r="D9" s="19"/>
    </x:row>
    <x:row r="10">
      <x:c r="A10" s="20" t="str">
        <x:v>Definition of Done</x:v>
      </x:c>
      <x:c r="B10" s="19" t="str">
        <x:v>Code runs + output correct + evidence + downstream can consume</x:v>
      </x:c>
      <x:c r="C10" s="19"/>
      <x:c r="D10" s="19"/>
    </x:row>
    <x:row r="11">
      <x:c r="A11" s="19"/>
      <x:c r="B11" s="19"/>
      <x:c r="C11" s="19"/>
      <x:c r="D11" s="19"/>
    </x:row>
    <x:row r="12">
      <x:c r="A12" s="22" t="str">
        <x:v>Status</x:v>
      </x:c>
      <x:c r="B12" s="22" t="str">
        <x:v>Priority</x:v>
      </x:c>
      <x:c r="C12" s="22" t="str">
        <x:v>Owner</x:v>
      </x:c>
      <x:c r="D12" s="22" t="str">
        <x:v>Risk Status</x:v>
      </x:c>
    </x:row>
    <x:row r="13">
      <x:c r="A13" s="19" t="str">
        <x:v>Not Started</x:v>
      </x:c>
      <x:c r="B13" s="19" t="str">
        <x:v>Critical</x:v>
      </x:c>
      <x:c r="C13" s="19" t="str">
        <x:v>Person 1</x:v>
      </x:c>
      <x:c r="D13" s="19" t="str">
        <x:v>Open</x:v>
      </x:c>
    </x:row>
    <x:row r="14">
      <x:c r="A14" s="19" t="str">
        <x:v>In Progress</x:v>
      </x:c>
      <x:c r="B14" s="19" t="str">
        <x:v>High</x:v>
      </x:c>
      <x:c r="C14" s="19" t="str">
        <x:v>Person 2</x:v>
      </x:c>
      <x:c r="D14" s="19" t="str">
        <x:v>Monitoring</x:v>
      </x:c>
    </x:row>
    <x:row r="15">
      <x:c r="A15" s="19" t="str">
        <x:v>Blocked</x:v>
      </x:c>
      <x:c r="B15" s="19" t="str">
        <x:v>Medium</x:v>
      </x:c>
      <x:c r="C15" s="19" t="str">
        <x:v>Both</x:v>
      </x:c>
      <x:c r="D15" s="19" t="str">
        <x:v>Closed</x:v>
      </x:c>
    </x:row>
    <x:row r="16">
      <x:c r="A16" s="19" t="str">
        <x:v>Done</x:v>
      </x:c>
      <x:c r="B16" s="19"/>
      <x:c r="C16" s="19"/>
      <x:c r="D16" s="19"/>
    </x:row>
    <x:row r="17">
      <x:c r="A17" s="19"/>
      <x:c r="B17" s="19"/>
      <x:c r="C17" s="19"/>
      <x:c r="D17" s="19"/>
    </x:row>
    <x:row r="18">
      <x:c r="A18" s="19"/>
      <x:c r="B18" s="19"/>
      <x:c r="C18" s="19"/>
      <x:c r="D18" s="19"/>
    </x:row>
    <x:row r="19">
      <x:c r="A19" s="19"/>
      <x:c r="B19" s="19"/>
      <x:c r="C19" s="19"/>
      <x:c r="D19" s="19"/>
    </x:row>
    <x:row r="20">
      <x:c r="A20" s="19"/>
      <x:c r="B20" s="19"/>
      <x:c r="C20" s="19"/>
      <x:c r="D20" s="19"/>
    </x:row>
  </x:sheetData>
  <x:mergeCells>
    <x:mergeCell ref="A1:D1"/>
  </x:mergeCells>
  <x:pageMargins left="0.7" right="0.7" top="0.75" bottom="0.75" header="0.3" footer="0.3"/>
</x:worksheet>
</file>